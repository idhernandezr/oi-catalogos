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0" yWindow="1540" windowWidth="34560" windowHeight="20160" tabRatio="600" firstSheet="0" activeTab="0" autoFilterDateGrouping="1"/>
  </bookViews>
  <sheets>
    <sheet xmlns:r="http://schemas.openxmlformats.org/officeDocument/2006/relationships" name="OI - Pauta" sheetId="1" state="visible" r:id="rId1"/>
    <sheet xmlns:r="http://schemas.openxmlformats.org/officeDocument/2006/relationships" name="Terms" sheetId="2" state="visible" r:id="rId2"/>
    <sheet xmlns:r="http://schemas.openxmlformats.org/officeDocument/2006/relationships" name="Consideraciones" sheetId="3" state="visible" r:id="rId3"/>
    <sheet xmlns:r="http://schemas.openxmlformats.org/officeDocument/2006/relationships" name="Specs Televisa Ads" sheetId="4" state="visible" r:id="rId4"/>
  </sheets>
  <definedNames>
    <definedName name="_xlnm.Print_Area" localSheetId="0">'OI - Pauta'!$A$1:$U$50</definedName>
  </definedNames>
  <calcPr calcId="191029" fullCalcOnLoad="1"/>
</workbook>
</file>

<file path=xl/styles.xml><?xml version="1.0" encoding="utf-8"?>
<styleSheet xmlns="http://schemas.openxmlformats.org/spreadsheetml/2006/main">
  <numFmts count="10">
    <numFmt numFmtId="164" formatCode="[$$]#,##0.00"/>
    <numFmt numFmtId="165" formatCode="&quot;$&quot;#,##0.00"/>
    <numFmt numFmtId="166" formatCode="_-* #,##0.00_-;\-* #,##0.00_-;_-* &quot;-&quot;??.00_-;_-@"/>
    <numFmt numFmtId="167" formatCode="d\ m"/>
    <numFmt numFmtId="168" formatCode="_-* #,##0_-;\-* #,##0_-;_-* &quot;-&quot;??_-;_-@"/>
    <numFmt numFmtId="169" formatCode="&quot;$&quot;#,##0"/>
    <numFmt numFmtId="170" formatCode="d/m/yyyy"/>
    <numFmt numFmtId="171" formatCode="_-* #,##0.00_-;\-* #,##0.00_-;_-* &quot;-&quot;??_-;_-@"/>
    <numFmt numFmtId="172" formatCode="#,000%"/>
    <numFmt numFmtId="173" formatCode="d&quot;/&quot;mmmm&quot;/&quot;yyyy"/>
  </numFmts>
  <fonts count="48">
    <font>
      <name val="Calibri"/>
      <color rgb="FF000000"/>
      <sz val="10"/>
      <scheme val="minor"/>
    </font>
    <font>
      <name val="Arial"/>
      <family val="2"/>
      <color theme="1"/>
      <sz val="10"/>
    </font>
    <font>
      <name val="Arial"/>
      <family val="2"/>
      <b val="1"/>
      <color rgb="FFFFFFFF"/>
      <sz val="18"/>
    </font>
    <font>
      <name val="Calibri"/>
      <family val="2"/>
      <sz val="10"/>
    </font>
    <font>
      <name val="Arial"/>
      <family val="2"/>
      <color rgb="FFFFFFFF"/>
      <sz val="10"/>
    </font>
    <font>
      <name val="Arial"/>
      <family val="2"/>
      <b val="1"/>
      <color rgb="FF000000"/>
      <sz val="15"/>
    </font>
    <font>
      <name val="Arial"/>
      <family val="2"/>
      <b val="1"/>
      <color rgb="FFFFFFFF"/>
      <sz val="10"/>
    </font>
    <font>
      <name val="Arial"/>
      <family val="2"/>
      <b val="1"/>
      <color rgb="FF333333"/>
      <sz val="10"/>
    </font>
    <font>
      <name val="Arial"/>
      <family val="2"/>
      <color rgb="FF000000"/>
      <sz val="10"/>
    </font>
    <font>
      <name val="Arial"/>
      <family val="2"/>
      <b val="1"/>
      <color rgb="FF000000"/>
      <sz val="10"/>
    </font>
    <font>
      <name val="Arial"/>
      <family val="2"/>
      <color rgb="FFFFFFFF"/>
      <sz val="18"/>
    </font>
    <font>
      <name val="Arial"/>
      <family val="2"/>
      <b val="1"/>
      <color rgb="FF0070C0"/>
      <sz val="10"/>
    </font>
    <font>
      <name val="Arial"/>
      <family val="2"/>
      <color theme="0"/>
      <sz val="10"/>
    </font>
    <font>
      <name val="Arial"/>
      <family val="2"/>
      <color rgb="FFFFFFFF"/>
      <sz val="14"/>
    </font>
    <font>
      <name val="Arial"/>
      <family val="2"/>
      <b val="1"/>
      <color rgb="FFFFFFFF"/>
      <sz val="12"/>
    </font>
    <font>
      <name val="Arial"/>
      <family val="2"/>
      <color rgb="FF000000"/>
      <sz val="12"/>
    </font>
    <font>
      <name val="Arial"/>
      <family val="2"/>
      <color theme="1"/>
      <sz val="12"/>
    </font>
    <font>
      <name val="Century Gothic"/>
      <family val="1"/>
      <color rgb="FF000000"/>
      <sz val="10"/>
    </font>
    <font>
      <name val="Century Gothic"/>
      <family val="1"/>
      <color theme="1"/>
      <sz val="8"/>
    </font>
    <font>
      <name val="Century Gothic"/>
      <family val="1"/>
      <color theme="1"/>
      <sz val="10"/>
    </font>
    <font>
      <name val="Century Gothic"/>
      <family val="1"/>
      <color rgb="FF000000"/>
      <sz val="8"/>
    </font>
    <font>
      <name val="Calibri"/>
      <family val="2"/>
      <color theme="1"/>
      <sz val="10"/>
      <scheme val="minor"/>
    </font>
    <font>
      <name val="Century Gothic"/>
      <family val="1"/>
      <b val="1"/>
      <color rgb="FFFFFFFF"/>
      <sz val="12"/>
    </font>
    <font>
      <name val="Century Gothic"/>
      <family val="1"/>
      <color rgb="FFFFFFFF"/>
      <sz val="7"/>
    </font>
    <font>
      <name val="Century Gothic"/>
      <family val="1"/>
      <b val="1"/>
      <color theme="1"/>
      <sz val="10"/>
    </font>
    <font>
      <name val="Arial"/>
      <family val="2"/>
      <color theme="1"/>
      <sz val="8"/>
    </font>
    <font>
      <name val="Tahoma"/>
      <family val="2"/>
      <b val="1"/>
      <color rgb="FFFFFFFF"/>
      <sz val="10"/>
    </font>
    <font>
      <name val="Century Gothic"/>
      <family val="1"/>
      <b val="1"/>
      <color rgb="FF000000"/>
      <sz val="10"/>
    </font>
    <font>
      <name val="Century Gothic"/>
      <family val="1"/>
      <b val="1"/>
      <color rgb="FFFFFFFF"/>
      <sz val="10"/>
    </font>
    <font>
      <name val="Century Gothic"/>
      <family val="1"/>
      <color rgb="FF7C1233"/>
      <sz val="11"/>
    </font>
    <font>
      <name val="Calibri"/>
      <family val="2"/>
      <color rgb="FF7C1233"/>
      <sz val="10"/>
    </font>
    <font>
      <name val="Century Gothic"/>
      <family val="1"/>
      <b val="1"/>
      <color theme="9"/>
      <sz val="16"/>
    </font>
    <font>
      <name val="Calibri"/>
      <family val="2"/>
      <color theme="1"/>
      <sz val="10"/>
    </font>
    <font>
      <name val="Century Gothic"/>
      <family val="1"/>
      <b val="1"/>
      <color rgb="FFFFFFFF"/>
      <sz val="11"/>
    </font>
    <font>
      <name val="Century Gothic"/>
      <family val="1"/>
      <b val="1"/>
      <color rgb="FF0B5394"/>
      <sz val="10"/>
    </font>
    <font>
      <name val="Century Gothic"/>
      <family val="1"/>
      <color rgb="FF0B5394"/>
      <sz val="10"/>
    </font>
    <font>
      <name val="Calibri"/>
      <family val="2"/>
      <color rgb="FF4F81BD"/>
      <sz val="10"/>
    </font>
    <font>
      <name val="Century Gothic"/>
      <family val="1"/>
      <b val="1"/>
      <color rgb="FFB32F31"/>
      <sz val="12"/>
    </font>
    <font>
      <name val="Calibri"/>
      <family val="2"/>
      <color rgb="FF666666"/>
      <sz val="8"/>
    </font>
    <font>
      <name val="Century Gothic"/>
      <family val="1"/>
      <b val="1"/>
      <color rgb="FFB32F31"/>
      <sz val="10"/>
    </font>
    <font>
      <name val="Century Gothic"/>
      <family val="1"/>
      <color rgb="FF666666"/>
      <sz val="10"/>
    </font>
    <font>
      <name val="Century Gothic"/>
      <family val="1"/>
      <color rgb="FF666666"/>
      <sz val="10"/>
      <u val="single"/>
    </font>
    <font>
      <name val="Century Gothic"/>
      <family val="1"/>
      <b val="1"/>
      <color rgb="FFFFFFFF"/>
      <sz val="9"/>
    </font>
    <font>
      <name val="Century Gothic"/>
      <family val="1"/>
      <color rgb="FFFFFFFF"/>
      <sz val="6"/>
    </font>
    <font>
      <name val="Century Gothic"/>
      <family val="1"/>
      <b val="1"/>
      <color rgb="FF666666"/>
      <sz val="10"/>
    </font>
    <font>
      <name val="Century Gothic"/>
      <family val="1"/>
      <color rgb="FF1155CC"/>
      <sz val="10"/>
      <u val="single"/>
    </font>
    <font>
      <name val="Calibri"/>
      <family val="2"/>
      <color rgb="FF666666"/>
      <sz val="10"/>
    </font>
    <font>
      <name val="Calibri"/>
      <family val="2"/>
      <color rgb="FFFF0000"/>
      <sz val="10"/>
    </font>
  </fonts>
  <fills count="20">
    <fill>
      <patternFill/>
    </fill>
    <fill>
      <patternFill patternType="gray125"/>
    </fill>
    <fill>
      <patternFill patternType="solid">
        <fgColor rgb="FF366092"/>
        <bgColor rgb="FF366092"/>
      </patternFill>
    </fill>
    <fill>
      <patternFill patternType="solid">
        <fgColor rgb="FFD9D9D9"/>
        <bgColor rgb="FFD9D9D9"/>
      </patternFill>
    </fill>
    <fill>
      <patternFill patternType="solid">
        <fgColor rgb="FFFFFFFF"/>
        <bgColor rgb="FFFFFFFF"/>
      </patternFill>
    </fill>
    <fill>
      <patternFill patternType="solid">
        <fgColor rgb="FFFFFF00"/>
        <bgColor rgb="FFFFFF00"/>
      </patternFill>
    </fill>
    <fill>
      <patternFill patternType="solid">
        <fgColor rgb="FFD5A6BD"/>
        <bgColor rgb="FFD5A6BD"/>
      </patternFill>
    </fill>
    <fill>
      <patternFill patternType="solid">
        <fgColor rgb="FF1F497D"/>
        <bgColor rgb="FF1F497D"/>
      </patternFill>
    </fill>
    <fill>
      <patternFill patternType="solid">
        <fgColor rgb="FF000000"/>
        <bgColor rgb="FF000000"/>
      </patternFill>
    </fill>
    <fill>
      <patternFill patternType="solid">
        <fgColor rgb="FFFFC000"/>
        <bgColor rgb="FFFFC000"/>
      </patternFill>
    </fill>
    <fill>
      <patternFill patternType="solid">
        <fgColor rgb="FFB7B7B7"/>
        <bgColor rgb="FFB7B7B7"/>
      </patternFill>
    </fill>
    <fill>
      <patternFill patternType="solid">
        <fgColor rgb="FFF4B084"/>
        <bgColor rgb="FFF4B084"/>
      </patternFill>
    </fill>
    <fill>
      <patternFill patternType="solid">
        <fgColor rgb="FFBDD7EE"/>
        <bgColor rgb="FFBDD7EE"/>
      </patternFill>
    </fill>
    <fill>
      <patternFill patternType="solid">
        <fgColor rgb="FF7F7F7F"/>
        <bgColor rgb="FF7F7F7F"/>
      </patternFill>
    </fill>
    <fill>
      <patternFill patternType="solid">
        <fgColor rgb="FF365F92"/>
        <bgColor rgb="FF365F92"/>
      </patternFill>
    </fill>
    <fill>
      <patternFill patternType="solid">
        <fgColor rgb="FFD8D8D8"/>
        <bgColor rgb="FFD8D8D8"/>
      </patternFill>
    </fill>
    <fill>
      <patternFill patternType="solid">
        <fgColor theme="7"/>
        <bgColor theme="7"/>
      </patternFill>
    </fill>
    <fill>
      <patternFill patternType="solid">
        <fgColor rgb="FFFF9900"/>
        <bgColor rgb="FFFF9900"/>
      </patternFill>
    </fill>
    <fill>
      <patternFill patternType="solid">
        <fgColor rgb="FFE57163"/>
        <bgColor rgb="FFE57163"/>
      </patternFill>
    </fill>
    <fill>
      <patternFill patternType="solid">
        <fgColor rgb="FFCCCCCC"/>
        <bgColor rgb="FFCCCCCC"/>
      </patternFill>
    </fill>
  </fills>
  <borders count="67">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1C4587"/>
      </left>
      <right style="thin">
        <color rgb="FF1C4587"/>
      </right>
      <top style="thin">
        <color rgb="FF1C4587"/>
      </top>
      <bottom style="thin">
        <color rgb="FF1C4587"/>
      </bottom>
      <diagonal/>
    </border>
    <border>
      <left style="thick">
        <color rgb="FFB32F31"/>
      </left>
      <right/>
      <top style="thick">
        <color rgb="FFB32F31"/>
      </top>
      <bottom/>
      <diagonal/>
    </border>
    <border>
      <left style="thick">
        <color rgb="FFC0504D"/>
      </left>
      <right/>
      <top style="thick">
        <color rgb="FFC0504D"/>
      </top>
      <bottom style="thick">
        <color rgb="FFC0504D"/>
      </bottom>
      <diagonal/>
    </border>
    <border>
      <left/>
      <right/>
      <top style="thick">
        <color rgb="FFC0504D"/>
      </top>
      <bottom style="thick">
        <color rgb="FFC0504D"/>
      </bottom>
      <diagonal/>
    </border>
    <border>
      <left/>
      <right style="thick">
        <color rgb="FFC0504D"/>
      </right>
      <top style="thick">
        <color rgb="FFC0504D"/>
      </top>
      <bottom style="thick">
        <color rgb="FFC0504D"/>
      </bottom>
      <diagonal/>
    </border>
    <border>
      <left/>
      <right/>
      <top style="thick">
        <color rgb="FFB32F31"/>
      </top>
      <bottom style="thick">
        <color rgb="FFB32F31"/>
      </bottom>
      <diagonal/>
    </border>
    <border>
      <left/>
      <right style="thick">
        <color rgb="FFB32F31"/>
      </right>
      <top style="thick">
        <color rgb="FFB32F31"/>
      </top>
      <bottom style="thick">
        <color rgb="FFB32F31"/>
      </bottom>
      <diagonal/>
    </border>
    <border>
      <left style="thick">
        <color rgb="FFB32F31"/>
      </left>
      <right style="thick">
        <color rgb="FFB32F31"/>
      </right>
      <top style="thick">
        <color rgb="FFB32F31"/>
      </top>
      <bottom/>
      <diagonal/>
    </border>
    <border>
      <left style="thick">
        <color rgb="FFB32F31"/>
      </left>
      <right/>
      <top/>
      <bottom/>
      <diagonal/>
    </border>
    <border>
      <left style="thick">
        <color rgb="FFC0504D"/>
      </left>
      <right/>
      <top/>
      <bottom/>
      <diagonal/>
    </border>
    <border>
      <left style="thick">
        <color rgb="FFC0504D"/>
      </left>
      <right style="thick">
        <color rgb="FFC0504D"/>
      </right>
      <top style="thick">
        <color rgb="FFC0504D"/>
      </top>
      <bottom/>
      <diagonal/>
    </border>
    <border>
      <left/>
      <right style="thick">
        <color rgb="FFC0504D"/>
      </right>
      <top/>
      <bottom/>
      <diagonal/>
    </border>
    <border>
      <left/>
      <right style="thick">
        <color rgb="FFB32F31"/>
      </right>
      <top style="thick">
        <color rgb="FFB32F31"/>
      </top>
      <bottom/>
      <diagonal/>
    </border>
    <border>
      <left style="thick">
        <color rgb="FFB32F31"/>
      </left>
      <right style="thick">
        <color rgb="FFB32F31"/>
      </right>
      <top/>
      <bottom/>
      <diagonal/>
    </border>
    <border>
      <left style="thick">
        <color rgb="FFB32F31"/>
      </left>
      <right/>
      <top/>
      <bottom style="thick">
        <color rgb="FFB32F31"/>
      </bottom>
      <diagonal/>
    </border>
    <border>
      <left style="thick">
        <color rgb="FFC0504D"/>
      </left>
      <right/>
      <top/>
      <bottom style="thick">
        <color rgb="FFC0504D"/>
      </bottom>
      <diagonal/>
    </border>
    <border>
      <left/>
      <right/>
      <top/>
      <bottom style="thick">
        <color rgb="FFC0504D"/>
      </bottom>
      <diagonal/>
    </border>
    <border>
      <left style="thick">
        <color rgb="FFC0504D"/>
      </left>
      <right style="thick">
        <color rgb="FFC0504D"/>
      </right>
      <top/>
      <bottom style="thick">
        <color rgb="FFC0504D"/>
      </bottom>
      <diagonal/>
    </border>
    <border>
      <left/>
      <right style="thick">
        <color rgb="FFC0504D"/>
      </right>
      <top/>
      <bottom style="thick">
        <color rgb="FFC0504D"/>
      </bottom>
      <diagonal/>
    </border>
    <border>
      <left/>
      <right style="thick">
        <color rgb="FFB32F31"/>
      </right>
      <top/>
      <bottom style="thick">
        <color rgb="FFB32F31"/>
      </bottom>
      <diagonal/>
    </border>
    <border>
      <left style="thick">
        <color rgb="FFB32F31"/>
      </left>
      <right style="thick">
        <color rgb="FFB32F31"/>
      </right>
      <top/>
      <bottom style="thick">
        <color rgb="FFB32F31"/>
      </bottom>
      <diagonal/>
    </border>
    <border>
      <left style="thick">
        <color rgb="FFB32F31"/>
      </left>
      <right style="thick">
        <color rgb="FFB32F31"/>
      </right>
      <top style="thick">
        <color rgb="FFB32F31"/>
      </top>
      <bottom style="thick">
        <color rgb="FFB32F31"/>
      </bottom>
      <diagonal/>
    </border>
    <border>
      <left style="thick">
        <color rgb="FFB32F31"/>
      </left>
      <right/>
      <top style="thick">
        <color rgb="FFB32F31"/>
      </top>
      <bottom style="thick">
        <color rgb="FFB32F3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bottom/>
      <diagonal/>
    </border>
    <border>
      <left/>
      <right/>
      <top style="thick">
        <color rgb="FFB32F31"/>
      </top>
      <bottom/>
      <diagonal/>
    </border>
    <border>
      <left/>
      <right style="thick">
        <color rgb="FFB32F31"/>
      </right>
      <top/>
      <bottom/>
      <diagonal/>
    </border>
    <border>
      <left style="thick">
        <color rgb="FFC0504D"/>
      </left>
      <right style="thick">
        <color rgb="FFC0504D"/>
      </right>
      <top style="thick">
        <color rgb="FFC0504D"/>
      </top>
      <bottom style="thick">
        <color rgb="FFC0504D"/>
      </bottom>
      <diagonal/>
    </border>
    <border>
      <left/>
      <right/>
      <top style="thick">
        <color rgb="FFC0504D"/>
      </top>
      <bottom/>
      <diagonal/>
    </border>
    <border>
      <left/>
      <right style="thick">
        <color rgb="FFC0504D"/>
      </right>
      <top style="thick">
        <color rgb="FFC0504D"/>
      </top>
      <bottom/>
      <diagonal/>
    </border>
    <border>
      <left style="thick">
        <color rgb="FFC0504D"/>
      </left>
      <right style="thick">
        <color rgb="FFC0504D"/>
      </right>
      <top/>
      <bottom/>
      <diagonal/>
    </border>
  </borders>
  <cellStyleXfs count="1">
    <xf numFmtId="0" fontId="0" fillId="0" borderId="7"/>
  </cellStyleXfs>
  <cellXfs count="282">
    <xf numFmtId="0" fontId="0" fillId="0" borderId="0" pivotButton="0" quotePrefix="0" xfId="0"/>
    <xf numFmtId="0" fontId="1" fillId="0" borderId="0" pivotButton="0" quotePrefix="0" xfId="0"/>
    <xf numFmtId="164" fontId="1" fillId="0" borderId="0" pivotButton="0" quotePrefix="0" xfId="0"/>
    <xf numFmtId="165" fontId="1" fillId="0" borderId="0" pivotButton="0" quotePrefix="0" xfId="0"/>
    <xf numFmtId="166" fontId="1" fillId="0" borderId="0" applyAlignment="1" pivotButton="0" quotePrefix="0" xfId="0">
      <alignment horizontal="center"/>
    </xf>
    <xf numFmtId="0" fontId="1" fillId="0" borderId="0" applyAlignment="1" pivotButton="0" quotePrefix="0" xfId="0">
      <alignment horizontal="center" vertical="center"/>
    </xf>
    <xf numFmtId="0" fontId="1" fillId="2" borderId="6" pivotButton="0" quotePrefix="0" xfId="0"/>
    <xf numFmtId="0" fontId="7" fillId="4" borderId="6" pivotButton="0" quotePrefix="0" xfId="0"/>
    <xf numFmtId="0" fontId="9" fillId="0" borderId="6" pivotButton="0" quotePrefix="0" xfId="0"/>
    <xf numFmtId="167" fontId="1" fillId="0" borderId="0" pivotButton="0" quotePrefix="0" xfId="0"/>
    <xf numFmtId="0" fontId="1" fillId="0" borderId="0" applyAlignment="1" pivotButton="0" quotePrefix="0" xfId="0">
      <alignment vertical="center"/>
    </xf>
    <xf numFmtId="0" fontId="7" fillId="4" borderId="6" applyAlignment="1" pivotButton="0" quotePrefix="0" xfId="0">
      <alignment vertical="center"/>
    </xf>
    <xf numFmtId="0" fontId="4" fillId="0"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166" fontId="1" fillId="0" borderId="0" applyAlignment="1" pivotButton="0" quotePrefix="0" xfId="0">
      <alignment horizontal="center" vertical="center"/>
    </xf>
    <xf numFmtId="0" fontId="6" fillId="2" borderId="6" pivotButton="0" quotePrefix="0" xfId="0"/>
    <xf numFmtId="164" fontId="1" fillId="4" borderId="7" applyAlignment="1" pivotButton="0" quotePrefix="0" xfId="0">
      <alignment horizontal="center"/>
    </xf>
    <xf numFmtId="165" fontId="1" fillId="4" borderId="6" applyAlignment="1" pivotButton="0" quotePrefix="0" xfId="0">
      <alignment horizontal="center"/>
    </xf>
    <xf numFmtId="0" fontId="7" fillId="4" borderId="6" applyAlignment="1" pivotButton="0" quotePrefix="0" xfId="0">
      <alignment wrapText="1"/>
    </xf>
    <xf numFmtId="4" fontId="1" fillId="0" borderId="0" pivotButton="0" quotePrefix="0" xfId="0"/>
    <xf numFmtId="0" fontId="8" fillId="0" borderId="0" pivotButton="0" quotePrefix="0" xfId="0"/>
    <xf numFmtId="9" fontId="1" fillId="0" borderId="0" applyAlignment="1" pivotButton="0" quotePrefix="0" xfId="0">
      <alignment horizontal="center" vertical="center"/>
    </xf>
    <xf numFmtId="0" fontId="6" fillId="8" borderId="6" applyAlignment="1" pivotButton="0" quotePrefix="0" xfId="0">
      <alignment horizontal="center" vertical="center" wrapText="1"/>
    </xf>
    <xf numFmtId="164" fontId="6" fillId="8" borderId="6" applyAlignment="1" pivotButton="0" quotePrefix="0" xfId="0">
      <alignment horizontal="center" vertical="center" wrapText="1"/>
    </xf>
    <xf numFmtId="165" fontId="6" fillId="8" borderId="6" applyAlignment="1" pivotButton="0" quotePrefix="0" xfId="0">
      <alignment horizontal="center" vertical="center" wrapText="1"/>
    </xf>
    <xf numFmtId="166" fontId="6" fillId="8" borderId="6" applyAlignment="1" pivotButton="0" quotePrefix="0" xfId="0">
      <alignment horizontal="center" vertical="center" wrapText="1"/>
    </xf>
    <xf numFmtId="168" fontId="6" fillId="8" borderId="6" applyAlignment="1" pivotButton="0" quotePrefix="0" xfId="0">
      <alignment horizontal="center" vertical="center" wrapText="1"/>
    </xf>
    <xf numFmtId="168" fontId="1" fillId="0" borderId="0" pivotButton="0" quotePrefix="0" xfId="0"/>
    <xf numFmtId="0" fontId="8" fillId="0" borderId="6" applyAlignment="1" pivotButton="0" quotePrefix="0" xfId="0">
      <alignment horizontal="center" vertical="center" wrapText="1"/>
    </xf>
    <xf numFmtId="169" fontId="8" fillId="0" borderId="6" applyAlignment="1" pivotButton="0" quotePrefix="0" xfId="0">
      <alignment horizontal="center" vertical="center" wrapText="1"/>
    </xf>
    <xf numFmtId="170" fontId="8" fillId="0" borderId="6" applyAlignment="1" pivotButton="0" quotePrefix="0" xfId="0">
      <alignment horizontal="center" vertical="center" wrapText="1"/>
    </xf>
    <xf numFmtId="164" fontId="8" fillId="0" borderId="6" applyAlignment="1" pivotButton="0" quotePrefix="0" xfId="0">
      <alignment horizontal="center" vertical="center" wrapText="1"/>
    </xf>
    <xf numFmtId="4" fontId="8" fillId="9" borderId="6" applyAlignment="1" pivotButton="0" quotePrefix="0" xfId="0">
      <alignment horizontal="center" vertical="center" wrapText="1"/>
    </xf>
    <xf numFmtId="168" fontId="8" fillId="0" borderId="6" applyAlignment="1" pivotButton="0" quotePrefix="0" xfId="0">
      <alignment horizontal="center" vertical="center" wrapText="1"/>
    </xf>
    <xf numFmtId="171" fontId="8" fillId="0" borderId="6" applyAlignment="1" pivotButton="0" quotePrefix="0" xfId="0">
      <alignment horizontal="center" vertical="center" wrapText="1"/>
    </xf>
    <xf numFmtId="166" fontId="8" fillId="9" borderId="6" applyAlignment="1" pivotButton="0" quotePrefix="0" xfId="0">
      <alignment horizontal="center" vertical="center" wrapText="1"/>
    </xf>
    <xf numFmtId="165" fontId="11" fillId="0" borderId="6" applyAlignment="1" pivotButton="0" quotePrefix="0" xfId="0">
      <alignment horizontal="center" vertical="center" wrapText="1"/>
    </xf>
    <xf numFmtId="10" fontId="8" fillId="0" borderId="6" applyAlignment="1" pivotButton="0" quotePrefix="0" xfId="0">
      <alignment horizontal="center" vertical="center" wrapText="1"/>
    </xf>
    <xf numFmtId="168" fontId="8" fillId="10" borderId="6" applyAlignment="1" pivotButton="0" quotePrefix="0" xfId="0">
      <alignment horizontal="center" vertical="center" wrapText="1"/>
    </xf>
    <xf numFmtId="168" fontId="8" fillId="9" borderId="6" applyAlignment="1" pivotButton="0" quotePrefix="0" xfId="0">
      <alignment horizontal="center" vertical="center" wrapText="1"/>
    </xf>
    <xf numFmtId="165" fontId="8" fillId="9" borderId="6" applyAlignment="1" pivotButton="0" quotePrefix="0" xfId="0">
      <alignment horizontal="center" vertical="center" wrapText="1"/>
    </xf>
    <xf numFmtId="0" fontId="8" fillId="10" borderId="6" applyAlignment="1" pivotButton="0" quotePrefix="0" xfId="0">
      <alignment horizontal="center" vertical="center" wrapText="1"/>
    </xf>
    <xf numFmtId="0" fontId="8" fillId="9" borderId="6" applyAlignment="1" pivotButton="0" quotePrefix="0" xfId="0">
      <alignment horizontal="center" vertical="center" wrapText="1"/>
    </xf>
    <xf numFmtId="0" fontId="1" fillId="4" borderId="7" pivotButton="0" quotePrefix="0" xfId="0"/>
    <xf numFmtId="0" fontId="1" fillId="8" borderId="6" applyAlignment="1" pivotButton="0" quotePrefix="0" xfId="0">
      <alignment horizontal="center" vertical="center"/>
    </xf>
    <xf numFmtId="164" fontId="1" fillId="8" borderId="6" applyAlignment="1" pivotButton="0" quotePrefix="0" xfId="0">
      <alignment horizontal="center" vertical="center"/>
    </xf>
    <xf numFmtId="165" fontId="1" fillId="8" borderId="6" applyAlignment="1" pivotButton="0" quotePrefix="0" xfId="0">
      <alignment horizontal="center" vertical="center"/>
    </xf>
    <xf numFmtId="165" fontId="6" fillId="8" borderId="6" applyAlignment="1" pivotButton="0" quotePrefix="0" xfId="0">
      <alignment horizontal="center" vertical="center"/>
    </xf>
    <xf numFmtId="168" fontId="12" fillId="8" borderId="6" applyAlignment="1" pivotButton="0" quotePrefix="0" xfId="0">
      <alignment horizontal="center" vertical="center"/>
    </xf>
    <xf numFmtId="0" fontId="14" fillId="8" borderId="6" applyAlignment="1" pivotButton="0" quotePrefix="0" xfId="0">
      <alignment horizontal="center" vertical="center" wrapText="1"/>
    </xf>
    <xf numFmtId="166" fontId="14" fillId="8" borderId="5" applyAlignment="1" pivotButton="0" quotePrefix="0" xfId="0">
      <alignment horizontal="center" vertical="center" wrapText="1"/>
    </xf>
    <xf numFmtId="0" fontId="15" fillId="11" borderId="6" applyAlignment="1" pivotButton="0" quotePrefix="0" xfId="0">
      <alignment horizontal="center" vertical="center"/>
    </xf>
    <xf numFmtId="166" fontId="16" fillId="0" borderId="5" applyAlignment="1" pivotButton="0" quotePrefix="0" xfId="0">
      <alignment horizontal="center" vertical="center" wrapText="1"/>
    </xf>
    <xf numFmtId="0" fontId="16" fillId="0" borderId="6" applyAlignment="1" pivotButton="0" quotePrefix="0" xfId="0">
      <alignment horizontal="center" vertical="center" wrapText="1"/>
    </xf>
    <xf numFmtId="165" fontId="16" fillId="0" borderId="6" applyAlignment="1" pivotButton="0" quotePrefix="0" xfId="0">
      <alignment horizontal="center" vertical="center" wrapText="1"/>
    </xf>
    <xf numFmtId="166" fontId="16" fillId="0" borderId="9" applyAlignment="1" pivotButton="0" quotePrefix="0" xfId="0">
      <alignment horizontal="center" vertical="center" wrapText="1"/>
    </xf>
    <xf numFmtId="166" fontId="16" fillId="0" borderId="10" applyAlignment="1" pivotButton="0" quotePrefix="0" xfId="0">
      <alignment horizontal="center" vertical="center" wrapText="1"/>
    </xf>
    <xf numFmtId="0" fontId="15" fillId="12" borderId="6" applyAlignment="1" pivotButton="0" quotePrefix="0" xfId="0">
      <alignment horizontal="center" vertical="center"/>
    </xf>
    <xf numFmtId="166" fontId="16" fillId="0" borderId="11" applyAlignment="1" pivotButton="0" quotePrefix="0" xfId="0">
      <alignment horizontal="center" vertical="center" wrapText="1"/>
    </xf>
    <xf numFmtId="165" fontId="14" fillId="8" borderId="6" applyAlignment="1" pivotButton="0" quotePrefix="0" xfId="0">
      <alignment horizontal="center" vertical="center" wrapText="1"/>
    </xf>
    <xf numFmtId="172" fontId="1" fillId="0" borderId="0" pivotButton="0" quotePrefix="0" xfId="0"/>
    <xf numFmtId="0" fontId="6" fillId="8" borderId="0" applyAlignment="1" pivotButton="0" quotePrefix="0" xfId="0">
      <alignment horizontal="right" wrapText="1"/>
    </xf>
    <xf numFmtId="0" fontId="6" fillId="8" borderId="0" applyAlignment="1" pivotButton="0" quotePrefix="0" xfId="0">
      <alignment horizontal="right"/>
    </xf>
    <xf numFmtId="0" fontId="9" fillId="13" borderId="0" applyAlignment="1" pivotButton="0" quotePrefix="0" xfId="0">
      <alignment horizontal="center"/>
    </xf>
    <xf numFmtId="0" fontId="1" fillId="0" borderId="0" applyAlignment="1" pivotButton="0" quotePrefix="0" xfId="0">
      <alignment vertical="top"/>
    </xf>
    <xf numFmtId="0" fontId="17" fillId="0" borderId="6" applyAlignment="1" pivotButton="0" quotePrefix="0" xfId="0">
      <alignment vertical="center"/>
    </xf>
    <xf numFmtId="0" fontId="9" fillId="0" borderId="6" applyAlignment="1" pivotButton="0" quotePrefix="0" xfId="0">
      <alignment horizontal="center"/>
    </xf>
    <xf numFmtId="0" fontId="17" fillId="0" borderId="0" applyAlignment="1" pivotButton="0" quotePrefix="0" xfId="0">
      <alignment vertical="center" wrapText="1"/>
    </xf>
    <xf numFmtId="0" fontId="17" fillId="0" borderId="0" applyAlignment="1" pivotButton="0" quotePrefix="0" xfId="0">
      <alignment vertical="center"/>
    </xf>
    <xf numFmtId="0" fontId="17" fillId="0" borderId="0" applyAlignment="1" pivotButton="0" quotePrefix="0" xfId="0">
      <alignment horizontal="center" vertical="center" wrapText="1"/>
    </xf>
    <xf numFmtId="164" fontId="17" fillId="0" borderId="0" applyAlignment="1" pivotButton="0" quotePrefix="0" xfId="0">
      <alignment vertical="center"/>
    </xf>
    <xf numFmtId="165" fontId="17" fillId="0" borderId="0" applyAlignment="1" pivotButton="0" quotePrefix="0" xfId="0">
      <alignment vertical="center"/>
    </xf>
    <xf numFmtId="166" fontId="17" fillId="0" borderId="0" applyAlignment="1" pivotButton="0" quotePrefix="0" xfId="0">
      <alignment horizontal="center" vertical="center"/>
    </xf>
    <xf numFmtId="0" fontId="17" fillId="0" borderId="0" applyAlignment="1" pivotButton="0" quotePrefix="0" xfId="0">
      <alignment horizontal="center" vertical="center"/>
    </xf>
    <xf numFmtId="0" fontId="18" fillId="0" borderId="0" applyAlignment="1" pivotButton="0" quotePrefix="0" xfId="0">
      <alignment horizontal="center" vertical="center" wrapText="1"/>
    </xf>
    <xf numFmtId="0" fontId="19" fillId="0" borderId="0" applyAlignment="1" pivotButton="0" quotePrefix="0" xfId="0">
      <alignment horizontal="center" vertical="center" wrapText="1"/>
    </xf>
    <xf numFmtId="0" fontId="17" fillId="0" borderId="0" pivotButton="0" quotePrefix="0" xfId="0"/>
    <xf numFmtId="164" fontId="17" fillId="0" borderId="0" pivotButton="0" quotePrefix="0" xfId="0"/>
    <xf numFmtId="165" fontId="17" fillId="0" borderId="0" pivotButton="0" quotePrefix="0" xfId="0"/>
    <xf numFmtId="166" fontId="17" fillId="0" borderId="0" applyAlignment="1" pivotButton="0" quotePrefix="0" xfId="0">
      <alignment horizontal="center"/>
    </xf>
    <xf numFmtId="0" fontId="20" fillId="0" borderId="0" applyAlignment="1" pivotButton="0" quotePrefix="0" xfId="0">
      <alignment horizontal="center" wrapText="1"/>
    </xf>
    <xf numFmtId="0" fontId="17" fillId="0" borderId="0" applyAlignment="1" pivotButton="0" quotePrefix="0" xfId="0">
      <alignment horizontal="center" wrapText="1"/>
    </xf>
    <xf numFmtId="164" fontId="8" fillId="0" borderId="0" pivotButton="0" quotePrefix="0" xfId="0"/>
    <xf numFmtId="0" fontId="21" fillId="0" borderId="0" applyAlignment="1" pivotButton="0" quotePrefix="0" xfId="0">
      <alignment horizontal="center" vertical="center"/>
    </xf>
    <xf numFmtId="166" fontId="21" fillId="0" borderId="0" pivotButton="0" quotePrefix="0" xfId="0"/>
    <xf numFmtId="0" fontId="26" fillId="14" borderId="22" applyAlignment="1" pivotButton="0" quotePrefix="0" xfId="0">
      <alignment horizontal="center" vertical="top"/>
    </xf>
    <xf numFmtId="0" fontId="8" fillId="0" borderId="6" applyAlignment="1" pivotButton="0" quotePrefix="0" xfId="0">
      <alignment horizontal="left" vertical="top"/>
    </xf>
    <xf numFmtId="0" fontId="8" fillId="14" borderId="6" applyAlignment="1" pivotButton="0" quotePrefix="0" xfId="0">
      <alignment horizontal="left"/>
    </xf>
    <xf numFmtId="0" fontId="27" fillId="0" borderId="0" pivotButton="0" quotePrefix="0" xfId="0"/>
    <xf numFmtId="173" fontId="17" fillId="0" borderId="0" applyAlignment="1" pivotButton="0" quotePrefix="0" xfId="0">
      <alignment vertical="center"/>
    </xf>
    <xf numFmtId="0" fontId="27" fillId="0" borderId="0" applyAlignment="1" pivotButton="0" quotePrefix="0" xfId="0">
      <alignment vertical="center" wrapText="1"/>
    </xf>
    <xf numFmtId="0" fontId="28" fillId="8" borderId="24" pivotButton="0" quotePrefix="0" xfId="0"/>
    <xf numFmtId="0" fontId="19" fillId="8" borderId="25" pivotButton="0" quotePrefix="0" xfId="0"/>
    <xf numFmtId="0" fontId="19" fillId="8" borderId="25" applyAlignment="1" pivotButton="0" quotePrefix="0" xfId="0">
      <alignment wrapText="1"/>
    </xf>
    <xf numFmtId="0" fontId="19" fillId="8" borderId="26" pivotButton="0" quotePrefix="0" xfId="0"/>
    <xf numFmtId="0" fontId="21" fillId="0" borderId="0" applyAlignment="1" pivotButton="0" quotePrefix="0" xfId="0">
      <alignment vertical="center"/>
    </xf>
    <xf numFmtId="0" fontId="17" fillId="15" borderId="27" applyAlignment="1" pivotButton="0" quotePrefix="0" xfId="0">
      <alignment vertical="center"/>
    </xf>
    <xf numFmtId="0" fontId="19" fillId="15" borderId="7" applyAlignment="1" pivotButton="0" quotePrefix="0" xfId="0">
      <alignment vertical="center"/>
    </xf>
    <xf numFmtId="0" fontId="19" fillId="15" borderId="7" applyAlignment="1" pivotButton="0" quotePrefix="0" xfId="0">
      <alignment vertical="center" wrapText="1"/>
    </xf>
    <xf numFmtId="0" fontId="19" fillId="15" borderId="28" applyAlignment="1" pivotButton="0" quotePrefix="0" xfId="0">
      <alignment vertical="center"/>
    </xf>
    <xf numFmtId="0" fontId="19" fillId="15" borderId="27" pivotButton="0" quotePrefix="0" xfId="0"/>
    <xf numFmtId="0" fontId="19" fillId="15" borderId="7" pivotButton="0" quotePrefix="0" xfId="0"/>
    <xf numFmtId="0" fontId="19" fillId="15" borderId="7" applyAlignment="1" pivotButton="0" quotePrefix="0" xfId="0">
      <alignment wrapText="1"/>
    </xf>
    <xf numFmtId="0" fontId="19" fillId="15" borderId="28" pivotButton="0" quotePrefix="0" xfId="0"/>
    <xf numFmtId="0" fontId="27" fillId="15" borderId="27" pivotButton="0" quotePrefix="0" xfId="0"/>
    <xf numFmtId="0" fontId="27" fillId="15" borderId="7" pivotButton="0" quotePrefix="0" xfId="0"/>
    <xf numFmtId="0" fontId="17" fillId="15" borderId="31" pivotButton="0" quotePrefix="0" xfId="0"/>
    <xf numFmtId="0" fontId="19" fillId="15" borderId="32" pivotButton="0" quotePrefix="0" xfId="0"/>
    <xf numFmtId="0" fontId="27" fillId="15" borderId="32" pivotButton="0" quotePrefix="0" xfId="0"/>
    <xf numFmtId="0" fontId="19" fillId="15" borderId="32" applyAlignment="1" pivotButton="0" quotePrefix="0" xfId="0">
      <alignment wrapText="1"/>
    </xf>
    <xf numFmtId="0" fontId="19" fillId="15" borderId="33" pivotButton="0" quotePrefix="0" xfId="0"/>
    <xf numFmtId="168" fontId="1" fillId="0" borderId="0" applyAlignment="1" pivotButton="0" quotePrefix="0" xfId="0">
      <alignment horizontal="center"/>
    </xf>
    <xf numFmtId="0" fontId="1" fillId="9" borderId="0" pivotButton="0" quotePrefix="0" xfId="0"/>
    <xf numFmtId="168" fontId="8" fillId="13" borderId="6" applyAlignment="1" pivotButton="0" quotePrefix="0" xfId="0">
      <alignment horizontal="center" vertical="center" wrapText="1"/>
    </xf>
    <xf numFmtId="168" fontId="8" fillId="16" borderId="6" applyAlignment="1" pivotButton="0" quotePrefix="0" xfId="0">
      <alignment horizontal="center" vertical="center" wrapText="1"/>
    </xf>
    <xf numFmtId="0" fontId="8" fillId="16" borderId="6" applyAlignment="1" pivotButton="0" quotePrefix="0" xfId="0">
      <alignment horizontal="center" vertical="center" wrapText="1"/>
    </xf>
    <xf numFmtId="0" fontId="8" fillId="3" borderId="6" applyAlignment="1" pivotButton="0" quotePrefix="0" xfId="0">
      <alignment horizontal="center" vertical="center" wrapText="1"/>
    </xf>
    <xf numFmtId="10" fontId="8" fillId="16" borderId="6" applyAlignment="1" pivotButton="0" quotePrefix="0" xfId="0">
      <alignment horizontal="center" vertical="center" wrapText="1"/>
    </xf>
    <xf numFmtId="9" fontId="8" fillId="0" borderId="6" applyAlignment="1" pivotButton="0" quotePrefix="0" xfId="0">
      <alignment horizontal="center" vertical="center" wrapText="1"/>
    </xf>
    <xf numFmtId="168" fontId="17" fillId="0" borderId="0" applyAlignment="1" pivotButton="0" quotePrefix="0" xfId="0">
      <alignment horizontal="center" vertical="center"/>
    </xf>
    <xf numFmtId="168" fontId="17" fillId="0" borderId="0" applyAlignment="1" pivotButton="0" quotePrefix="0" xfId="0">
      <alignment horizontal="center"/>
    </xf>
    <xf numFmtId="0" fontId="1" fillId="0" borderId="0" applyAlignment="1" pivotButton="0" quotePrefix="0" xfId="0">
      <alignment horizontal="center"/>
    </xf>
    <xf numFmtId="0" fontId="29" fillId="4" borderId="0" applyAlignment="1" pivotButton="0" quotePrefix="0" xfId="0">
      <alignment vertical="center"/>
    </xf>
    <xf numFmtId="0" fontId="30" fillId="4" borderId="0" pivotButton="0" quotePrefix="0" xfId="0"/>
    <xf numFmtId="0" fontId="31" fillId="4" borderId="0" pivotButton="0" quotePrefix="0" xfId="0"/>
    <xf numFmtId="0" fontId="30" fillId="4" borderId="0" applyAlignment="1" pivotButton="0" quotePrefix="0" xfId="0">
      <alignment vertical="center"/>
    </xf>
    <xf numFmtId="0" fontId="32" fillId="0" borderId="0" pivotButton="0" quotePrefix="0" xfId="0"/>
    <xf numFmtId="0" fontId="33" fillId="17" borderId="34" applyAlignment="1" pivotButton="0" quotePrefix="0" xfId="0">
      <alignment horizontal="center" vertical="center" wrapText="1"/>
    </xf>
    <xf numFmtId="0" fontId="34" fillId="0" borderId="34" applyAlignment="1" pivotButton="0" quotePrefix="0" xfId="0">
      <alignment horizontal="center" vertical="center" wrapText="1"/>
    </xf>
    <xf numFmtId="0" fontId="35" fillId="0" borderId="34" applyAlignment="1" pivotButton="0" quotePrefix="0" xfId="0">
      <alignment horizontal="center" vertical="center" wrapText="1"/>
    </xf>
    <xf numFmtId="169" fontId="35" fillId="0" borderId="34"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0" applyAlignment="1" pivotButton="0" quotePrefix="0" xfId="0">
      <alignment vertical="center" wrapText="1"/>
    </xf>
    <xf numFmtId="0" fontId="37" fillId="4" borderId="0" pivotButton="0" quotePrefix="0" xfId="0"/>
    <xf numFmtId="0" fontId="38" fillId="4" borderId="0" pivotButton="0" quotePrefix="0" xfId="0"/>
    <xf numFmtId="0" fontId="33" fillId="18" borderId="49" applyAlignment="1" pivotButton="0" quotePrefix="0" xfId="0">
      <alignment horizontal="center" vertical="center" wrapText="1"/>
    </xf>
    <xf numFmtId="0" fontId="33" fillId="18" borderId="50" applyAlignment="1" pivotButton="0" quotePrefix="0" xfId="0">
      <alignment horizontal="center" vertical="center" wrapText="1"/>
    </xf>
    <xf numFmtId="0" fontId="39" fillId="0" borderId="55" applyAlignment="1" pivotButton="0" quotePrefix="0" xfId="0">
      <alignment horizontal="center" vertical="center" wrapText="1"/>
    </xf>
    <xf numFmtId="0" fontId="40" fillId="0" borderId="54" applyAlignment="1" pivotButton="0" quotePrefix="0" xfId="0">
      <alignment horizontal="center" vertical="center" wrapText="1"/>
    </xf>
    <xf numFmtId="169" fontId="40" fillId="0" borderId="55" applyAlignment="1" pivotButton="0" quotePrefix="0" xfId="0">
      <alignment horizontal="center" vertical="center" wrapText="1"/>
    </xf>
    <xf numFmtId="169" fontId="40" fillId="19" borderId="55" applyAlignment="1" pivotButton="0" quotePrefix="0" xfId="0">
      <alignment horizontal="center" vertical="center" wrapText="1"/>
    </xf>
    <xf numFmtId="169" fontId="41" fillId="0" borderId="55" applyAlignment="1" pivotButton="0" quotePrefix="0" xfId="0">
      <alignment horizontal="center" vertical="center" wrapText="1"/>
    </xf>
    <xf numFmtId="0" fontId="40" fillId="0" borderId="55" applyAlignment="1" pivotButton="0" quotePrefix="0" xfId="0">
      <alignment horizontal="center" vertical="center" wrapText="1"/>
    </xf>
    <xf numFmtId="0" fontId="15" fillId="11" borderId="3" applyAlignment="1" pivotButton="0" quotePrefix="0" xfId="0">
      <alignment horizontal="center" vertical="center"/>
    </xf>
    <xf numFmtId="0" fontId="3" fillId="0" borderId="4" pivotButton="0" quotePrefix="0" xfId="0"/>
    <xf numFmtId="0" fontId="3" fillId="0" borderId="5" pivotButton="0" quotePrefix="0" xfId="0"/>
    <xf numFmtId="168" fontId="16" fillId="0" borderId="3" applyAlignment="1" pivotButton="0" quotePrefix="0" xfId="0">
      <alignment horizontal="center" vertical="center" wrapText="1"/>
    </xf>
    <xf numFmtId="0" fontId="16" fillId="0" borderId="3" applyAlignment="1" pivotButton="0" quotePrefix="0" xfId="0">
      <alignment horizontal="center" vertical="center"/>
    </xf>
    <xf numFmtId="0" fontId="15" fillId="12" borderId="3" applyAlignment="1" pivotButton="0" quotePrefix="0" xfId="0">
      <alignment horizontal="center" vertical="center"/>
    </xf>
    <xf numFmtId="0" fontId="6" fillId="8" borderId="3" applyAlignment="1" pivotButton="0" quotePrefix="0" xfId="0">
      <alignment horizontal="right" wrapText="1"/>
    </xf>
    <xf numFmtId="165" fontId="8" fillId="0" borderId="3" applyAlignment="1" pivotButton="0" quotePrefix="0" xfId="0">
      <alignment horizontal="center" vertical="center"/>
    </xf>
    <xf numFmtId="0" fontId="6" fillId="8" borderId="3" applyAlignment="1" pivotButton="0" quotePrefix="0" xfId="0">
      <alignment horizontal="right"/>
    </xf>
    <xf numFmtId="169" fontId="8" fillId="0" borderId="3" applyAlignment="1" pivotButton="0" quotePrefix="0" xfId="0">
      <alignment horizontal="center" vertical="center"/>
    </xf>
    <xf numFmtId="0" fontId="8" fillId="5" borderId="3" pivotButton="0" quotePrefix="0" xfId="0"/>
    <xf numFmtId="0" fontId="2" fillId="2" borderId="1" pivotButton="0" quotePrefix="0" xfId="0"/>
    <xf numFmtId="0" fontId="3" fillId="0" borderId="2" pivotButton="0" quotePrefix="0" xfId="0"/>
    <xf numFmtId="0" fontId="4" fillId="2" borderId="1" pivotButton="0" quotePrefix="0" xfId="0"/>
    <xf numFmtId="0" fontId="5" fillId="3" borderId="1" pivotButton="0" quotePrefix="0" xfId="0"/>
    <xf numFmtId="0" fontId="6" fillId="2" borderId="3" pivotButton="0" quotePrefix="0" xfId="0"/>
    <xf numFmtId="0" fontId="8" fillId="5" borderId="3" applyAlignment="1" pivotButton="0" quotePrefix="0" xfId="0">
      <alignment horizontal="right" wrapText="1"/>
    </xf>
    <xf numFmtId="14" fontId="8" fillId="0" borderId="3" applyAlignment="1" pivotButton="0" quotePrefix="0" xfId="0">
      <alignment horizontal="right" wrapText="1"/>
    </xf>
    <xf numFmtId="0" fontId="8" fillId="0" borderId="3" applyAlignment="1" pivotButton="0" quotePrefix="0" xfId="0">
      <alignment horizontal="right" vertical="center" wrapText="1"/>
    </xf>
    <xf numFmtId="0" fontId="8" fillId="6" borderId="3" applyAlignment="1" pivotButton="0" quotePrefix="0" xfId="0">
      <alignment horizontal="right" wrapText="1"/>
    </xf>
    <xf numFmtId="170" fontId="8" fillId="0" borderId="3" applyAlignment="1" pivotButton="0" quotePrefix="0" xfId="0">
      <alignment horizontal="right" wrapText="1"/>
    </xf>
    <xf numFmtId="165" fontId="8" fillId="0" borderId="3" applyAlignment="1" pivotButton="0" quotePrefix="0" xfId="0">
      <alignment horizontal="right" wrapText="1"/>
    </xf>
    <xf numFmtId="0" fontId="8" fillId="0" borderId="3" applyAlignment="1" pivotButton="0" quotePrefix="0" xfId="0">
      <alignment horizontal="right" wrapText="1"/>
    </xf>
    <xf numFmtId="0" fontId="10" fillId="7" borderId="8" applyAlignment="1" pivotButton="0" quotePrefix="0" xfId="0">
      <alignment horizontal="center" vertical="center" wrapText="1"/>
    </xf>
    <xf numFmtId="0" fontId="13" fillId="7" borderId="3" applyAlignment="1" pivotButton="0" quotePrefix="0" xfId="0">
      <alignment horizontal="center" vertical="center" wrapText="1"/>
    </xf>
    <xf numFmtId="0" fontId="14" fillId="8" borderId="3" applyAlignment="1" pivotButton="0" quotePrefix="0" xfId="0">
      <alignment horizontal="center" vertical="center" wrapText="1"/>
    </xf>
    <xf numFmtId="168" fontId="14" fillId="8" borderId="3" applyAlignment="1" pivotButton="0" quotePrefix="0" xfId="0">
      <alignment horizontal="center" vertical="center" wrapText="1"/>
    </xf>
    <xf numFmtId="168" fontId="14" fillId="8" borderId="4" applyAlignment="1" pivotButton="0" quotePrefix="0" xfId="0">
      <alignment horizontal="center" vertical="center" wrapText="1"/>
    </xf>
    <xf numFmtId="0" fontId="14" fillId="8" borderId="3" applyAlignment="1" pivotButton="0" quotePrefix="0" xfId="0">
      <alignment horizontal="center" vertical="center"/>
    </xf>
    <xf numFmtId="0" fontId="9" fillId="13" borderId="3" applyAlignment="1" pivotButton="0" quotePrefix="0" xfId="0">
      <alignment wrapText="1"/>
    </xf>
    <xf numFmtId="0" fontId="9" fillId="13" borderId="1" applyAlignment="1" pivotButton="0" quotePrefix="0" xfId="0">
      <alignment horizontal="center"/>
    </xf>
    <xf numFmtId="0" fontId="1" fillId="0" borderId="12" applyAlignment="1" pivotButton="0" quotePrefix="0" xfId="0">
      <alignment vertical="top" wrapText="1"/>
    </xf>
    <xf numFmtId="0" fontId="3" fillId="0" borderId="13" pivotButton="0" quotePrefix="0" xfId="0"/>
    <xf numFmtId="0" fontId="3" fillId="0" borderId="9" pivotButton="0" quotePrefix="0" xfId="0"/>
    <xf numFmtId="0" fontId="3" fillId="0" borderId="14" pivotButton="0" quotePrefix="0" xfId="0"/>
    <xf numFmtId="0" fontId="3" fillId="0" borderId="15" pivotButton="0" quotePrefix="0" xfId="0"/>
    <xf numFmtId="0" fontId="3" fillId="0" borderId="11" pivotButton="0" quotePrefix="0" xfId="0"/>
    <xf numFmtId="0" fontId="17" fillId="0" borderId="3" applyAlignment="1" pivotButton="0" quotePrefix="0" xfId="0">
      <alignment vertical="center"/>
    </xf>
    <xf numFmtId="0" fontId="9" fillId="0" borderId="3" applyAlignment="1" pivotButton="0" quotePrefix="0" xfId="0">
      <alignment horizontal="center"/>
    </xf>
    <xf numFmtId="0" fontId="22" fillId="14" borderId="16" applyAlignment="1" pivotButton="0" quotePrefix="0" xfId="0">
      <alignment horizontal="left" vertical="center"/>
    </xf>
    <xf numFmtId="0" fontId="3" fillId="0" borderId="17" pivotButton="0" quotePrefix="0" xfId="0"/>
    <xf numFmtId="0" fontId="23" fillId="14" borderId="18" applyAlignment="1" pivotButton="0" quotePrefix="0" xfId="0">
      <alignment horizontal="left" vertical="center"/>
    </xf>
    <xf numFmtId="0" fontId="3" fillId="0" borderId="19" pivotButton="0" quotePrefix="0" xfId="0"/>
    <xf numFmtId="0" fontId="24" fillId="3" borderId="20" applyAlignment="1" pivotButton="0" quotePrefix="0" xfId="0">
      <alignment vertical="center"/>
    </xf>
    <xf numFmtId="0" fontId="3" fillId="0" borderId="21" pivotButton="0" quotePrefix="0" xfId="0"/>
    <xf numFmtId="0" fontId="25" fillId="0" borderId="3" applyAlignment="1" pivotButton="0" quotePrefix="0" xfId="0">
      <alignment vertical="top" wrapText="1"/>
    </xf>
    <xf numFmtId="0" fontId="1" fillId="0" borderId="12" pivotButton="0" quotePrefix="0" xfId="0"/>
    <xf numFmtId="0" fontId="3" fillId="0" borderId="23" pivotButton="0" quotePrefix="0" xfId="0"/>
    <xf numFmtId="0" fontId="3" fillId="0" borderId="10" pivotButton="0" quotePrefix="0" xfId="0"/>
    <xf numFmtId="0" fontId="27" fillId="15" borderId="29" applyAlignment="1" pivotButton="0" quotePrefix="0" xfId="0">
      <alignment horizontal="left" vertical="top" wrapText="1"/>
    </xf>
    <xf numFmtId="0" fontId="3" fillId="0" borderId="30" pivotButton="0" quotePrefix="0" xfId="0"/>
    <xf numFmtId="169" fontId="8" fillId="0" borderId="3" applyAlignment="1" pivotButton="0" quotePrefix="0" xfId="0">
      <alignment horizontal="right"/>
    </xf>
    <xf numFmtId="165" fontId="8" fillId="0" borderId="3" applyAlignment="1" pivotButton="0" quotePrefix="0" xfId="0">
      <alignment horizontal="right"/>
    </xf>
    <xf numFmtId="0" fontId="36" fillId="0" borderId="0" applyAlignment="1" pivotButton="0" quotePrefix="0" xfId="0">
      <alignment horizontal="right" vertical="center" wrapText="1"/>
    </xf>
    <xf numFmtId="0" fontId="0" fillId="0" borderId="0" pivotButton="0" quotePrefix="0" xfId="0"/>
    <xf numFmtId="0" fontId="33" fillId="18" borderId="41" applyAlignment="1" pivotButton="0" quotePrefix="0" xfId="0">
      <alignment horizontal="center" vertical="center" wrapText="1"/>
    </xf>
    <xf numFmtId="0" fontId="3" fillId="0" borderId="47" pivotButton="0" quotePrefix="0" xfId="0"/>
    <xf numFmtId="0" fontId="3" fillId="0" borderId="54" pivotButton="0" quotePrefix="0" xfId="0"/>
    <xf numFmtId="0" fontId="33" fillId="18" borderId="43" applyAlignment="1" pivotButton="0" quotePrefix="0" xfId="0">
      <alignment horizontal="center" vertical="center" wrapText="1"/>
    </xf>
    <xf numFmtId="0" fontId="33" fillId="18" borderId="44" applyAlignment="1" pivotButton="0" quotePrefix="0" xfId="0">
      <alignment horizontal="center" vertical="center" wrapText="1"/>
    </xf>
    <xf numFmtId="0" fontId="3" fillId="0" borderId="51" pivotButton="0" quotePrefix="0" xfId="0"/>
    <xf numFmtId="0" fontId="40" fillId="0" borderId="56" applyAlignment="1" pivotButton="0" quotePrefix="0" xfId="0">
      <alignment horizontal="center" vertical="center" wrapText="1"/>
    </xf>
    <xf numFmtId="0" fontId="3" fillId="0" borderId="40" pivotButton="0" quotePrefix="0" xfId="0"/>
    <xf numFmtId="0" fontId="33" fillId="18" borderId="45" applyAlignment="1" pivotButton="0" quotePrefix="0" xfId="0">
      <alignment horizontal="center" vertical="center" wrapText="1"/>
    </xf>
    <xf numFmtId="0" fontId="3" fillId="0" borderId="52" pivotButton="0" quotePrefix="0" xfId="0"/>
    <xf numFmtId="0" fontId="33" fillId="18" borderId="46" applyAlignment="1" pivotButton="0" quotePrefix="0" xfId="0">
      <alignment horizontal="center" vertical="center" wrapText="1"/>
    </xf>
    <xf numFmtId="0" fontId="3" fillId="0" borderId="53" pivotButton="0" quotePrefix="0" xfId="0"/>
    <xf numFmtId="0" fontId="33" fillId="18" borderId="35" applyAlignment="1" pivotButton="0" quotePrefix="0" xfId="0">
      <alignment horizontal="center" vertical="center" wrapText="1"/>
    </xf>
    <xf numFmtId="0" fontId="3" fillId="0" borderId="42" pivotButton="0" quotePrefix="0" xfId="0"/>
    <xf numFmtId="0" fontId="3" fillId="0" borderId="48" pivotButton="0" quotePrefix="0" xfId="0"/>
    <xf numFmtId="0" fontId="33" fillId="18" borderId="36" applyAlignment="1" pivotButton="0" quotePrefix="0" xfId="0">
      <alignment horizontal="center" vertical="center" wrapText="1"/>
    </xf>
    <xf numFmtId="0" fontId="3" fillId="0" borderId="37" pivotButton="0" quotePrefix="0" xfId="0"/>
    <xf numFmtId="0" fontId="3" fillId="0" borderId="38" pivotButton="0" quotePrefix="0" xfId="0"/>
    <xf numFmtId="0" fontId="33" fillId="18" borderId="39" applyAlignment="1" pivotButton="0" quotePrefix="0" xfId="0">
      <alignment horizontal="center" vertical="center" wrapText="1"/>
    </xf>
    <xf numFmtId="0" fontId="33" fillId="19" borderId="41" applyAlignment="1" pivotButton="0" quotePrefix="0" xfId="0">
      <alignment horizontal="center" vertical="center" wrapText="1"/>
    </xf>
    <xf numFmtId="0" fontId="2" fillId="2" borderId="7" pivotButton="0" quotePrefix="0" xfId="0"/>
    <xf numFmtId="0" fontId="4" fillId="2" borderId="7" pivotButton="0" quotePrefix="0" xfId="0"/>
    <xf numFmtId="0" fontId="5" fillId="3" borderId="7" pivotButton="0" quotePrefix="0" xfId="0"/>
    <xf numFmtId="0" fontId="0" fillId="0" borderId="8" pivotButton="0" quotePrefix="0" xfId="0"/>
    <xf numFmtId="0" fontId="0" fillId="0" borderId="5" pivotButton="0" quotePrefix="0" xfId="0"/>
    <xf numFmtId="0" fontId="8" fillId="5" borderId="6" applyAlignment="1" pivotButton="0" quotePrefix="0" xfId="0">
      <alignment horizontal="right" wrapText="1"/>
    </xf>
    <xf numFmtId="0" fontId="8" fillId="5" borderId="6" pivotButton="0" quotePrefix="0" xfId="0"/>
    <xf numFmtId="14" fontId="8" fillId="0" borderId="6" applyAlignment="1" pivotButton="0" quotePrefix="0" xfId="0">
      <alignment horizontal="right" wrapText="1"/>
    </xf>
    <xf numFmtId="0" fontId="8" fillId="0" borderId="6" applyAlignment="1" pivotButton="0" quotePrefix="0" xfId="0">
      <alignment horizontal="right" vertical="center" wrapText="1"/>
    </xf>
    <xf numFmtId="0" fontId="8" fillId="6" borderId="6" applyAlignment="1" pivotButton="0" quotePrefix="0" xfId="0">
      <alignment horizontal="right" wrapText="1"/>
    </xf>
    <xf numFmtId="170" fontId="8" fillId="0" borderId="6" applyAlignment="1" pivotButton="0" quotePrefix="0" xfId="0">
      <alignment horizontal="right" wrapText="1"/>
    </xf>
    <xf numFmtId="165" fontId="8" fillId="0" borderId="6" applyAlignment="1" pivotButton="0" quotePrefix="0" xfId="0">
      <alignment horizontal="right" wrapText="1"/>
    </xf>
    <xf numFmtId="0" fontId="8" fillId="0" borderId="6" applyAlignment="1" pivotButton="0" quotePrefix="0" xfId="0">
      <alignment horizontal="right" wrapText="1"/>
    </xf>
    <xf numFmtId="0" fontId="10" fillId="7" borderId="5" applyAlignment="1" pivotButton="0" quotePrefix="0" xfId="0">
      <alignment horizontal="center" vertical="center" wrapText="1"/>
    </xf>
    <xf numFmtId="168" fontId="6" fillId="8" borderId="6" applyAlignment="1" pivotButton="0" quotePrefix="0" xfId="0">
      <alignment horizontal="center" vertical="center" wrapText="1"/>
    </xf>
    <xf numFmtId="168" fontId="1" fillId="0" borderId="0" pivotButton="0" quotePrefix="0" xfId="0"/>
    <xf numFmtId="169" fontId="8" fillId="0" borderId="6" applyAlignment="1" pivotButton="0" quotePrefix="0" xfId="0">
      <alignment horizontal="center" vertical="center" wrapText="1"/>
    </xf>
    <xf numFmtId="170" fontId="8" fillId="0" borderId="6" applyAlignment="1" pivotButton="0" quotePrefix="0" xfId="0">
      <alignment horizontal="center" vertical="center" wrapText="1"/>
    </xf>
    <xf numFmtId="168" fontId="8" fillId="0" borderId="6" applyAlignment="1" pivotButton="0" quotePrefix="0" xfId="0">
      <alignment horizontal="center" vertical="center" wrapText="1"/>
    </xf>
    <xf numFmtId="168" fontId="8" fillId="10" borderId="6" applyAlignment="1" pivotButton="0" quotePrefix="0" xfId="0">
      <alignment horizontal="center" vertical="center" wrapText="1"/>
    </xf>
    <xf numFmtId="168" fontId="8" fillId="9" borderId="6" applyAlignment="1" pivotButton="0" quotePrefix="0" xfId="0">
      <alignment horizontal="center" vertical="center" wrapText="1"/>
    </xf>
    <xf numFmtId="168" fontId="12" fillId="8" borderId="6" applyAlignment="1" pivotButton="0" quotePrefix="0" xfId="0">
      <alignment horizontal="center" vertical="center"/>
    </xf>
    <xf numFmtId="0" fontId="6" fillId="8" borderId="6" applyAlignment="1" pivotButton="0" quotePrefix="0" xfId="0">
      <alignment horizontal="right" wrapText="1"/>
    </xf>
    <xf numFmtId="165" fontId="8" fillId="0" borderId="6" applyAlignment="1" pivotButton="0" quotePrefix="0" xfId="0">
      <alignment horizontal="center" vertical="center"/>
    </xf>
    <xf numFmtId="0" fontId="6" fillId="8" borderId="6" applyAlignment="1" pivotButton="0" quotePrefix="0" xfId="0">
      <alignment horizontal="right"/>
    </xf>
    <xf numFmtId="169" fontId="8" fillId="0" borderId="6" applyAlignment="1" pivotButton="0" quotePrefix="0" xfId="0">
      <alignment horizontal="center" vertical="center"/>
    </xf>
    <xf numFmtId="0" fontId="9" fillId="13" borderId="6" applyAlignment="1" pivotButton="0" quotePrefix="0" xfId="0">
      <alignment wrapText="1"/>
    </xf>
    <xf numFmtId="0" fontId="9" fillId="13" borderId="7" applyAlignment="1" pivotButton="0" quotePrefix="0" xfId="0">
      <alignment horizontal="center"/>
    </xf>
    <xf numFmtId="0" fontId="1" fillId="0" borderId="6" applyAlignment="1" pivotButton="0" quotePrefix="0" xfId="0">
      <alignment vertical="top" wrapText="1"/>
    </xf>
    <xf numFmtId="0" fontId="0" fillId="0" borderId="13" pivotButton="0" quotePrefix="0" xfId="0"/>
    <xf numFmtId="0" fontId="0" fillId="0" borderId="17" pivotButton="0" quotePrefix="0" xfId="0"/>
    <xf numFmtId="0" fontId="0" fillId="0" borderId="20" pivotButton="0" quotePrefix="0" xfId="0"/>
    <xf numFmtId="0" fontId="0" fillId="0" borderId="15" pivotButton="0" quotePrefix="0" xfId="0"/>
    <xf numFmtId="0" fontId="0" fillId="0" borderId="21" pivotButton="0" quotePrefix="0" xfId="0"/>
    <xf numFmtId="0" fontId="22" fillId="14" borderId="57" applyAlignment="1" pivotButton="0" quotePrefix="0" xfId="0">
      <alignment horizontal="left" vertical="center"/>
    </xf>
    <xf numFmtId="0" fontId="23" fillId="14" borderId="58" applyAlignment="1" pivotButton="0" quotePrefix="0" xfId="0">
      <alignment horizontal="left" vertical="center"/>
    </xf>
    <xf numFmtId="0" fontId="0" fillId="0" borderId="19" pivotButton="0" quotePrefix="0" xfId="0"/>
    <xf numFmtId="0" fontId="24" fillId="3" borderId="59" applyAlignment="1" pivotButton="0" quotePrefix="0" xfId="0">
      <alignment vertical="center"/>
    </xf>
    <xf numFmtId="0" fontId="25" fillId="0" borderId="6" applyAlignment="1" pivotButton="0" quotePrefix="0" xfId="0">
      <alignment vertical="top" wrapText="1"/>
    </xf>
    <xf numFmtId="0" fontId="1" fillId="0" borderId="6" pivotButton="0" quotePrefix="0" xfId="0"/>
    <xf numFmtId="0" fontId="0" fillId="0" borderId="23" pivotButton="0" quotePrefix="0" xfId="0"/>
    <xf numFmtId="0" fontId="27" fillId="15" borderId="60" applyAlignment="1" pivotButton="0" quotePrefix="0" xfId="0">
      <alignment horizontal="left" vertical="top" wrapText="1"/>
    </xf>
    <xf numFmtId="0" fontId="0" fillId="0" borderId="30" pivotButton="0" quotePrefix="0" xfId="0"/>
    <xf numFmtId="0" fontId="33" fillId="18" borderId="56" applyAlignment="1" pivotButton="0" quotePrefix="0" xfId="0">
      <alignment horizontal="center" vertical="center" wrapText="1"/>
    </xf>
    <xf numFmtId="0" fontId="33" fillId="18" borderId="63" applyAlignment="1" pivotButton="0" quotePrefix="0" xfId="0">
      <alignment horizontal="center" vertical="center" wrapText="1"/>
    </xf>
    <xf numFmtId="0" fontId="0" fillId="0" borderId="37" pivotButton="0" quotePrefix="0" xfId="0"/>
    <xf numFmtId="0" fontId="0" fillId="0" borderId="38" pivotButton="0" quotePrefix="0" xfId="0"/>
    <xf numFmtId="0" fontId="33" fillId="18" borderId="40" applyAlignment="1" pivotButton="0" quotePrefix="0" xfId="0">
      <alignment horizontal="center" vertical="center" wrapText="1"/>
    </xf>
    <xf numFmtId="0" fontId="0" fillId="0" borderId="40" pivotButton="0" quotePrefix="0" xfId="0"/>
    <xf numFmtId="0" fontId="33" fillId="18" borderId="55" applyAlignment="1" pivotButton="0" quotePrefix="0" xfId="0">
      <alignment horizontal="center" vertical="center" wrapText="1"/>
    </xf>
    <xf numFmtId="0" fontId="33" fillId="19" borderId="55" applyAlignment="1" pivotButton="0" quotePrefix="0" xfId="0">
      <alignment horizontal="center" vertical="center" wrapText="1"/>
    </xf>
    <xf numFmtId="0" fontId="0" fillId="0" borderId="42" pivotButton="0" quotePrefix="0" xfId="0"/>
    <xf numFmtId="0" fontId="33" fillId="18" borderId="52" applyAlignment="1" pivotButton="0" quotePrefix="0" xfId="0">
      <alignment horizontal="center" vertical="center" wrapText="1"/>
    </xf>
    <xf numFmtId="0" fontId="0" fillId="0" borderId="47" pivotButton="0" quotePrefix="0" xfId="0"/>
    <xf numFmtId="0" fontId="0" fillId="0" borderId="48" pivotButton="0" quotePrefix="0" xfId="0"/>
    <xf numFmtId="0" fontId="0" fillId="0" borderId="51" pivotButton="0" quotePrefix="0" xfId="0"/>
    <xf numFmtId="0" fontId="0" fillId="0" borderId="52" pivotButton="0" quotePrefix="0" xfId="0"/>
    <xf numFmtId="0" fontId="0" fillId="0" borderId="53" pivotButton="0" quotePrefix="0" xfId="0"/>
    <xf numFmtId="0" fontId="0" fillId="0" borderId="54" pivotButton="0" quotePrefix="0" xfId="0"/>
    <xf numFmtId="169" fontId="40" fillId="0" borderId="55" applyAlignment="1" pivotButton="0" quotePrefix="0" xfId="0">
      <alignment horizontal="center" vertical="center" wrapText="1"/>
    </xf>
    <xf numFmtId="169" fontId="40" fillId="19" borderId="55" applyAlignment="1" pivotButton="0" quotePrefix="0" xfId="0">
      <alignment horizontal="center" vertical="center" wrapText="1"/>
    </xf>
    <xf numFmtId="169" fontId="41" fillId="0" borderId="55" applyAlignment="1" pivotButton="0" quotePrefix="0" xfId="0">
      <alignment horizontal="center" vertical="center" wrapText="1"/>
    </xf>
    <xf numFmtId="0" fontId="36" fillId="0" borderId="7" applyAlignment="1" pivotButton="0" quotePrefix="0" xfId="0">
      <alignment horizontal="righ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514350</colOff>
      <row>2</row>
      <rowOff>66675</rowOff>
    </from>
    <ext cx="1533525" cy="561975"/>
    <pic>
      <nvPicPr>
        <cNvPr id="2"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180975</colOff>
      <row>0</row>
      <rowOff>19050</rowOff>
    </from>
    <ext cx="1266825" cy="914400"/>
    <pic>
      <nvPicPr>
        <cNvPr id="2" name="image2.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hyperlink" Target="https://forms.monday.com/forms/a137e5a56ddba2d30fb477fef082459f?r=use1" TargetMode="External" Id="rId1"/><Relationship Type="http://schemas.openxmlformats.org/officeDocument/2006/relationships/hyperlink" Target="https://forms.monday.com/forms/8d9ad8489df1b7e7bb6221636b55ffa8?r=use1" TargetMode="External" Id="rId2"/><Relationship Type="http://schemas.openxmlformats.org/officeDocument/2006/relationships/hyperlink" Target="https://forms.monday.com/forms/021237ad902df3f49e9b2f4abe256486?r=use1" TargetMode="External" Id="rId3"/><Relationship Type="http://schemas.openxmlformats.org/officeDocument/2006/relationships/hyperlink" Target="https://forms.monday.com/forms/59c1d8d15e4b829b2d5b89e069694705?r=use1" TargetMode="External" Id="rId4"/></Relationships>
</file>

<file path=xl/worksheets/sheet1.xml><?xml version="1.0" encoding="utf-8"?>
<worksheet xmlns="http://schemas.openxmlformats.org/spreadsheetml/2006/main">
  <sheetPr>
    <outlinePr summaryBelow="1" summaryRight="1"/>
    <pageSetUpPr fitToPage="1"/>
  </sheetPr>
  <dimension ref="A1:AA985"/>
  <sheetViews>
    <sheetView showGridLines="0" tabSelected="1" topLeftCell="A12" workbookViewId="0">
      <selection activeCell="S32" sqref="S32"/>
    </sheetView>
  </sheetViews>
  <sheetFormatPr baseColWidth="10" defaultColWidth="14.3984375" defaultRowHeight="15" customHeight="1"/>
  <cols>
    <col width="8.19921875" customWidth="1" style="198" min="1" max="1"/>
    <col width="25.796875" customWidth="1" style="198" min="2" max="2"/>
    <col width="31" customWidth="1" style="198" min="3" max="3"/>
    <col width="27.796875" customWidth="1" style="198" min="4" max="4"/>
    <col width="25.19921875" customWidth="1" style="198" min="5" max="5"/>
    <col width="20" customWidth="1" style="198" min="7" max="7"/>
    <col width="16.3984375" customWidth="1" style="198" min="8" max="9"/>
    <col hidden="1" width="13" customWidth="1" style="198" min="10" max="10"/>
    <col width="16.3984375" customWidth="1" style="198" min="11" max="11"/>
    <col width="15.19921875" bestFit="1" customWidth="1" style="198" min="12" max="12"/>
    <col hidden="1" width="16.59765625" bestFit="1" customWidth="1" style="198" min="13" max="13"/>
    <col width="16.19921875" customWidth="1" style="198" min="16" max="16"/>
    <col hidden="1" width="13" customWidth="1" style="198" min="17" max="17"/>
    <col hidden="1" width="13" customWidth="1" style="198" min="18" max="18"/>
    <col width="17.59765625" customWidth="1" style="198" min="20" max="20"/>
    <col width="18.796875" customWidth="1" style="198" min="21" max="21"/>
    <col width="12.796875" customWidth="1" style="198" min="22" max="22"/>
    <col width="16.796875" customWidth="1" style="198" min="23" max="23"/>
  </cols>
  <sheetData>
    <row r="1" ht="15.75" customHeight="1" s="198">
      <c r="A1" s="1" t="n"/>
      <c r="B1" s="1" t="n"/>
      <c r="C1" s="1" t="n"/>
      <c r="D1" s="1" t="n"/>
      <c r="E1" s="1" t="n"/>
      <c r="F1" s="1" t="n"/>
      <c r="G1" s="1" t="n"/>
      <c r="H1" s="1" t="n"/>
      <c r="I1" s="2" t="n"/>
      <c r="J1" s="3" t="n"/>
      <c r="K1" s="1" t="n"/>
      <c r="L1" s="1" t="n"/>
      <c r="M1" s="4" t="n"/>
      <c r="N1" s="1" t="n"/>
      <c r="O1" s="1" t="n"/>
      <c r="P1" s="1" t="n"/>
      <c r="Q1" s="1" t="n"/>
      <c r="R1" s="1" t="n"/>
      <c r="S1" s="1" t="n"/>
      <c r="T1" s="5" t="n"/>
      <c r="U1" s="1" t="n"/>
      <c r="V1" s="1" t="n"/>
      <c r="W1" s="1" t="n"/>
      <c r="X1" s="1" t="n"/>
      <c r="Y1" s="1" t="n"/>
      <c r="Z1" s="1" t="n"/>
      <c r="AA1" s="1" t="n"/>
    </row>
    <row r="2" ht="18.75" customHeight="1" s="198">
      <c r="A2" s="1" t="n"/>
      <c r="B2" s="1" t="n"/>
      <c r="C2" s="1" t="n"/>
      <c r="D2" s="1" t="n"/>
      <c r="E2" s="1" t="n"/>
      <c r="F2" s="1" t="n"/>
      <c r="G2" s="1" t="n"/>
      <c r="H2" s="1" t="n"/>
      <c r="I2" s="2" t="n"/>
      <c r="J2" s="3" t="n"/>
      <c r="K2" s="1" t="n"/>
      <c r="L2" s="1" t="n"/>
      <c r="M2" s="4" t="n"/>
      <c r="N2" s="1" t="n"/>
      <c r="O2" s="1" t="n"/>
      <c r="P2" s="1" t="n"/>
      <c r="Q2" s="1" t="n"/>
      <c r="R2" s="1" t="n"/>
      <c r="S2" s="1" t="n"/>
      <c r="T2" s="5" t="n"/>
      <c r="U2" s="1" t="n"/>
      <c r="V2" s="1" t="n"/>
      <c r="W2" s="1" t="n"/>
      <c r="X2" s="1" t="n"/>
      <c r="Y2" s="1" t="n"/>
      <c r="Z2" s="1" t="n"/>
      <c r="AA2" s="1" t="n"/>
    </row>
    <row r="3" ht="18.75" customHeight="1" s="198">
      <c r="A3" s="1" t="n"/>
      <c r="B3" s="1" t="n"/>
      <c r="C3" s="219" t="inlineStr">
        <is>
          <t>TELEVISA, S. de R. L de C.V.</t>
        </is>
      </c>
      <c r="K3" s="1" t="n"/>
      <c r="L3" s="1" t="n"/>
      <c r="M3" s="4" t="n"/>
      <c r="N3" s="1" t="n"/>
      <c r="O3" s="1" t="n"/>
      <c r="P3" s="1" t="n"/>
      <c r="Q3" s="1" t="n"/>
      <c r="R3" s="1" t="n"/>
      <c r="S3" s="1" t="n"/>
      <c r="T3" s="5" t="n"/>
      <c r="U3" s="1" t="n"/>
      <c r="V3" s="1" t="n"/>
      <c r="W3" s="1" t="n"/>
      <c r="X3" s="1" t="n"/>
      <c r="Y3" s="1" t="n"/>
      <c r="Z3" s="1" t="n"/>
      <c r="AA3" s="1" t="n"/>
    </row>
    <row r="4" ht="13.5" customHeight="1" s="198">
      <c r="B4" s="1" t="n"/>
      <c r="C4" s="220" t="inlineStr">
        <is>
          <t>AV. VASCO DE QUIROGA 2000 COL. SANTA FE C.P. 01210 ALVARO OBREGON, PAÍS: MÉXICO</t>
        </is>
      </c>
      <c r="K4" s="1" t="n"/>
      <c r="L4" s="1" t="n"/>
      <c r="M4" s="4" t="n"/>
      <c r="N4" s="1" t="n"/>
      <c r="O4" s="1" t="n"/>
      <c r="P4" s="1" t="n"/>
      <c r="Q4" s="1" t="n"/>
      <c r="R4" s="1" t="n"/>
      <c r="S4" s="1" t="n"/>
      <c r="T4" s="5" t="n"/>
      <c r="U4" s="1" t="n"/>
      <c r="V4" s="1" t="n"/>
      <c r="W4" s="1" t="n"/>
      <c r="X4" s="1" t="n"/>
      <c r="Y4" s="1" t="n"/>
      <c r="Z4" s="1" t="n"/>
      <c r="AA4" s="1" t="n"/>
    </row>
    <row r="5" ht="21.75" customHeight="1" s="198">
      <c r="A5" s="1" t="n"/>
      <c r="B5" s="1" t="n"/>
      <c r="C5" s="221" t="inlineStr">
        <is>
          <t>Orden de Inserción</t>
        </is>
      </c>
      <c r="K5" s="1" t="n"/>
      <c r="L5" s="1" t="n"/>
      <c r="M5" s="4" t="n"/>
      <c r="N5" s="1" t="n"/>
      <c r="O5" s="1" t="n"/>
      <c r="P5" s="1" t="n"/>
      <c r="Q5" s="1" t="n"/>
      <c r="R5" s="1" t="n"/>
      <c r="S5" s="1" t="n"/>
      <c r="T5" s="5" t="n"/>
      <c r="U5" s="1" t="n"/>
      <c r="V5" s="1" t="n"/>
      <c r="W5" s="1" t="n"/>
      <c r="X5" s="1" t="n"/>
      <c r="Y5" s="1" t="n"/>
      <c r="Z5" s="1" t="n"/>
      <c r="AA5" s="1" t="n"/>
    </row>
    <row r="6" ht="15.75" customHeight="1" s="198">
      <c r="A6" s="1" t="n"/>
      <c r="B6" s="1" t="n"/>
      <c r="C6" s="1" t="n"/>
      <c r="D6" s="1" t="n"/>
      <c r="E6" s="1" t="n"/>
      <c r="F6" s="1" t="n"/>
      <c r="G6" s="1" t="n"/>
      <c r="H6" s="1" t="n"/>
      <c r="I6" s="2" t="n"/>
      <c r="J6" s="3" t="n"/>
      <c r="K6" s="1" t="n"/>
      <c r="L6" s="1" t="n"/>
      <c r="M6" s="4" t="n"/>
      <c r="N6" s="1" t="n"/>
      <c r="O6" s="1" t="n"/>
      <c r="P6" s="1" t="n"/>
      <c r="Q6" s="1" t="n"/>
      <c r="R6" s="1" t="n"/>
      <c r="S6" s="1" t="n"/>
      <c r="T6" s="5" t="n"/>
      <c r="U6" s="1" t="n"/>
      <c r="V6" s="1" t="n"/>
      <c r="W6" s="1" t="n"/>
      <c r="X6" s="1" t="n"/>
      <c r="Y6" s="1" t="n"/>
      <c r="Z6" s="1" t="n"/>
      <c r="AA6" s="1" t="n"/>
    </row>
    <row r="7" ht="15.75" customHeight="1" s="198">
      <c r="A7" s="1" t="n"/>
      <c r="B7" s="1" t="n"/>
      <c r="C7" s="16" t="inlineStr">
        <is>
          <t>Información de la campaña</t>
        </is>
      </c>
      <c r="D7" s="222" t="n"/>
      <c r="E7" s="223" t="n"/>
      <c r="F7" s="1" t="n"/>
      <c r="G7" s="6" t="n"/>
      <c r="H7" s="16" t="inlineStr">
        <is>
          <t>Información de pago</t>
        </is>
      </c>
      <c r="I7" s="222" t="n"/>
      <c r="J7" s="223" t="n"/>
      <c r="K7" s="1" t="n"/>
      <c r="L7" s="1" t="n"/>
      <c r="M7" s="4" t="n"/>
      <c r="N7" s="1" t="n"/>
      <c r="O7" s="1" t="n"/>
      <c r="P7" s="1" t="n"/>
      <c r="Q7" s="1" t="n"/>
      <c r="R7" s="1" t="n"/>
      <c r="S7" s="1" t="n"/>
      <c r="T7" s="5" t="n"/>
      <c r="U7" s="1" t="n"/>
      <c r="V7" s="1" t="n"/>
      <c r="W7" s="1" t="n"/>
      <c r="X7" s="1" t="n"/>
      <c r="Y7" s="1" t="n"/>
      <c r="Z7" s="1" t="n"/>
      <c r="AA7" s="1" t="n"/>
    </row>
    <row r="8" ht="15.75" customHeight="1" s="198">
      <c r="A8" s="1" t="n"/>
      <c r="B8" s="1" t="n"/>
      <c r="C8" s="7" t="inlineStr">
        <is>
          <t>Anunciante:</t>
        </is>
      </c>
      <c r="D8" s="224" t="inlineStr">
        <is>
          <t>Pendiente de llenar por ventas</t>
        </is>
      </c>
      <c r="E8" s="223" t="n"/>
      <c r="F8" s="1" t="n"/>
      <c r="G8" s="7" t="inlineStr">
        <is>
          <t>Razón Social</t>
        </is>
      </c>
      <c r="H8" s="225" t="inlineStr">
        <is>
          <t>Pendiente de llenar por ventas</t>
        </is>
      </c>
      <c r="I8" s="222" t="n"/>
      <c r="J8" s="223" t="n"/>
      <c r="K8" s="1" t="n"/>
      <c r="L8" s="1" t="n"/>
      <c r="M8" s="4" t="n"/>
      <c r="N8" s="1" t="n"/>
      <c r="O8" s="1" t="n"/>
      <c r="P8" s="1" t="n"/>
      <c r="Q8" s="1" t="n"/>
      <c r="R8" s="1" t="n"/>
      <c r="S8" s="1" t="n"/>
      <c r="T8" s="5" t="n"/>
      <c r="U8" s="1" t="n"/>
      <c r="V8" s="1" t="n"/>
      <c r="W8" s="1" t="n"/>
      <c r="X8" s="1" t="n"/>
      <c r="Y8" s="1" t="n"/>
      <c r="Z8" s="1" t="n"/>
      <c r="AA8" s="1" t="n"/>
    </row>
    <row r="9" ht="15.75" customHeight="1" s="198">
      <c r="A9" s="1" t="n"/>
      <c r="B9" s="1" t="n"/>
      <c r="C9" s="7" t="inlineStr">
        <is>
          <t>Agencia:</t>
        </is>
      </c>
      <c r="D9" s="224" t="inlineStr">
        <is>
          <t>Pendiente de llenar por ventas</t>
        </is>
      </c>
      <c r="E9" s="223" t="n"/>
      <c r="F9" s="1" t="n"/>
      <c r="G9" s="7" t="inlineStr">
        <is>
          <t>Contacto:</t>
        </is>
      </c>
      <c r="H9" s="225" t="inlineStr">
        <is>
          <t>Pendiente de llenar por ventas</t>
        </is>
      </c>
      <c r="I9" s="222" t="n"/>
      <c r="J9" s="223" t="n"/>
      <c r="K9" s="1" t="n"/>
      <c r="L9" s="1" t="n"/>
      <c r="M9" s="4" t="n"/>
      <c r="N9" s="1" t="n"/>
      <c r="O9" s="1" t="n"/>
      <c r="P9" s="1" t="n"/>
      <c r="Q9" s="1" t="n"/>
      <c r="R9" s="1" t="n"/>
      <c r="S9" s="1" t="n"/>
      <c r="T9" s="5" t="n"/>
      <c r="U9" s="1" t="n"/>
      <c r="V9" s="1" t="n"/>
      <c r="W9" s="1" t="n"/>
      <c r="X9" s="1" t="n"/>
      <c r="Y9" s="1" t="n"/>
      <c r="Z9" s="1" t="n"/>
      <c r="AA9" s="1" t="n"/>
    </row>
    <row r="10" ht="15.75" customHeight="1" s="198">
      <c r="A10" s="1" t="n"/>
      <c r="B10" s="1" t="n"/>
      <c r="C10" s="8" t="inlineStr">
        <is>
          <t>Marca:</t>
        </is>
      </c>
      <c r="D10" s="224" t="inlineStr">
        <is>
          <t>Pendiente de llenar por ventas</t>
        </is>
      </c>
      <c r="E10" s="223" t="n"/>
      <c r="F10" s="1" t="n"/>
      <c r="G10" s="7" t="inlineStr">
        <is>
          <t>Dirección:</t>
        </is>
      </c>
      <c r="H10" s="225" t="inlineStr">
        <is>
          <t>Pendiente de llenar por ventas</t>
        </is>
      </c>
      <c r="I10" s="222" t="n"/>
      <c r="J10" s="223" t="n"/>
      <c r="K10" s="1" t="n"/>
      <c r="L10" s="1" t="n"/>
      <c r="M10" s="4" t="n"/>
      <c r="N10" s="9" t="n"/>
      <c r="O10" s="1" t="n"/>
      <c r="P10" s="1" t="n"/>
      <c r="Q10" s="1" t="n"/>
      <c r="R10" s="1" t="n"/>
      <c r="S10" s="1" t="n"/>
      <c r="T10" s="5" t="n"/>
      <c r="U10" s="1" t="n"/>
      <c r="V10" s="1" t="n"/>
      <c r="W10" s="1" t="n"/>
      <c r="X10" s="1" t="n"/>
      <c r="Y10" s="1" t="n"/>
      <c r="Z10" s="1" t="n"/>
      <c r="AA10" s="1" t="n"/>
    </row>
    <row r="11" ht="15.75" customHeight="1" s="198">
      <c r="A11" s="1" t="n"/>
      <c r="B11" s="1" t="n"/>
      <c r="C11" s="7" t="inlineStr">
        <is>
          <t>Campaña:</t>
        </is>
      </c>
      <c r="D11" s="224" t="inlineStr">
        <is>
          <t>Pendiente de llenar por ventas</t>
        </is>
      </c>
      <c r="E11" s="223" t="n"/>
      <c r="F11" s="1" t="n"/>
      <c r="G11" s="7" t="inlineStr">
        <is>
          <t>Teléfono</t>
        </is>
      </c>
      <c r="H11" s="225" t="inlineStr">
        <is>
          <t>Pendiente de llenar por ventas</t>
        </is>
      </c>
      <c r="I11" s="222" t="n"/>
      <c r="J11" s="223" t="n"/>
      <c r="K11" s="1" t="n"/>
      <c r="L11" s="1" t="n"/>
      <c r="M11" s="4" t="n"/>
      <c r="N11" s="9" t="n"/>
      <c r="O11" s="1" t="n"/>
      <c r="P11" s="1" t="n"/>
      <c r="Q11" s="1" t="n"/>
      <c r="R11" s="1" t="n"/>
      <c r="S11" s="1" t="n"/>
      <c r="T11" s="5" t="n"/>
      <c r="U11" s="1" t="n"/>
      <c r="V11" s="1" t="n"/>
      <c r="W11" s="1" t="n"/>
      <c r="X11" s="1" t="n"/>
      <c r="Y11" s="1" t="n"/>
      <c r="Z11" s="1" t="n"/>
      <c r="AA11" s="1" t="n"/>
    </row>
    <row r="12" ht="15.75" customHeight="1" s="198">
      <c r="A12" s="1" t="n"/>
      <c r="B12" s="1" t="n"/>
      <c r="C12" s="7" t="inlineStr">
        <is>
          <t>Fecha:</t>
        </is>
      </c>
      <c r="D12" s="226" t="n"/>
      <c r="E12" s="223" t="n"/>
      <c r="F12" s="1" t="n"/>
      <c r="G12" s="7" t="inlineStr">
        <is>
          <t>Dirección Comercial</t>
        </is>
      </c>
      <c r="H12" s="225" t="inlineStr">
        <is>
          <t>Pendiente de llenar por ventas</t>
        </is>
      </c>
      <c r="I12" s="222" t="n"/>
      <c r="J12" s="223" t="n"/>
      <c r="K12" s="1" t="n"/>
      <c r="L12" s="1" t="n"/>
      <c r="M12" s="4" t="n"/>
      <c r="N12" s="1" t="n"/>
      <c r="O12" s="1" t="n"/>
      <c r="P12" s="1" t="n"/>
      <c r="Q12" s="1" t="n"/>
      <c r="R12" s="1" t="n"/>
      <c r="S12" s="1" t="n"/>
      <c r="T12" s="5" t="n"/>
      <c r="U12" s="1" t="n"/>
      <c r="V12" s="1" t="n"/>
      <c r="W12" s="1" t="n"/>
      <c r="X12" s="1" t="n"/>
      <c r="Y12" s="1" t="n"/>
      <c r="Z12" s="1" t="n"/>
      <c r="AA12" s="1" t="n"/>
    </row>
    <row r="13" ht="15.75" customHeight="1" s="198">
      <c r="A13" s="1" t="n"/>
      <c r="B13" s="1" t="n"/>
      <c r="C13" s="7" t="inlineStr">
        <is>
          <t>Gerente de Ventas</t>
        </is>
      </c>
      <c r="D13" s="224" t="inlineStr">
        <is>
          <t>Pendiente de llenar por ventas</t>
        </is>
      </c>
      <c r="E13" s="223" t="n"/>
      <c r="F13" s="1" t="n"/>
      <c r="G13" s="7" t="inlineStr">
        <is>
          <t>Cuenta</t>
        </is>
      </c>
      <c r="H13" s="225" t="inlineStr">
        <is>
          <t>Pendiente de llenar por ventas</t>
        </is>
      </c>
      <c r="I13" s="222" t="n"/>
      <c r="J13" s="223" t="n"/>
      <c r="K13" s="1" t="n"/>
      <c r="L13" s="1" t="n"/>
      <c r="M13" s="4" t="n"/>
      <c r="N13" s="1" t="n"/>
      <c r="O13" s="1" t="n"/>
      <c r="P13" s="1" t="n"/>
      <c r="Q13" s="1" t="n"/>
      <c r="R13" s="1" t="n"/>
      <c r="S13" s="1" t="n"/>
      <c r="T13" s="5" t="n"/>
      <c r="U13" s="1" t="n"/>
      <c r="V13" s="1" t="n"/>
      <c r="W13" s="1" t="n"/>
      <c r="X13" s="1" t="n"/>
      <c r="Y13" s="1" t="n"/>
      <c r="Z13" s="1" t="n"/>
      <c r="AA13" s="1" t="n"/>
    </row>
    <row r="14" ht="14" customHeight="1" s="198">
      <c r="A14" s="10" t="n"/>
      <c r="B14" s="10" t="n"/>
      <c r="C14" s="11" t="inlineStr">
        <is>
          <t>Costum field</t>
        </is>
      </c>
      <c r="D14" s="227" t="inlineStr">
        <is>
          <t>No aplica</t>
        </is>
      </c>
      <c r="E14" s="223" t="n"/>
      <c r="F14" s="12" t="inlineStr">
        <is>
          <t>"plan 99"</t>
        </is>
      </c>
      <c r="G14" s="10" t="n"/>
      <c r="H14" s="10" t="n"/>
      <c r="I14" s="13" t="n"/>
      <c r="J14" s="14" t="n"/>
      <c r="K14" s="10" t="n"/>
      <c r="L14" s="10" t="n"/>
      <c r="M14" s="15" t="n"/>
      <c r="N14" s="10" t="n"/>
      <c r="O14" s="10" t="n"/>
      <c r="P14" s="10" t="n"/>
      <c r="Q14" s="10" t="n"/>
      <c r="R14" s="10" t="n"/>
      <c r="S14" s="10" t="n"/>
      <c r="T14" s="5" t="n"/>
      <c r="U14" s="10" t="n"/>
      <c r="V14" s="10" t="n"/>
      <c r="W14" s="10" t="n"/>
      <c r="X14" s="10" t="n"/>
      <c r="Y14" s="10" t="n"/>
      <c r="Z14" s="10" t="n"/>
      <c r="AA14" s="10" t="n"/>
    </row>
    <row r="15" ht="15.75" customHeight="1" s="198">
      <c r="A15" s="1" t="n"/>
      <c r="B15" s="1" t="n"/>
      <c r="C15" s="7" t="inlineStr">
        <is>
          <t>ID de Campaña</t>
        </is>
      </c>
      <c r="D15" s="228" t="inlineStr">
        <is>
          <t>Pendiente de llenar por Operaciones Comerciales</t>
        </is>
      </c>
      <c r="E15" s="223" t="n"/>
      <c r="F15" s="1" t="n"/>
      <c r="G15" s="1" t="n"/>
      <c r="H15" s="1" t="n"/>
      <c r="I15" s="2" t="n"/>
      <c r="J15" s="3" t="n"/>
      <c r="K15" s="1" t="n"/>
      <c r="L15" s="1" t="n"/>
      <c r="M15" s="4" t="n"/>
      <c r="N15" s="1" t="n"/>
      <c r="O15" s="1" t="n"/>
      <c r="P15" s="1" t="n"/>
      <c r="Q15" s="1" t="n"/>
      <c r="R15" s="1" t="n"/>
      <c r="S15" s="1" t="n"/>
      <c r="T15" s="5" t="n"/>
      <c r="U15" s="1" t="n"/>
      <c r="V15" s="1" t="n"/>
      <c r="W15" s="1" t="n"/>
      <c r="X15" s="1" t="n"/>
      <c r="Y15" s="1" t="n"/>
      <c r="Z15" s="1" t="n"/>
      <c r="AA15" s="1" t="n"/>
    </row>
    <row r="16" ht="15.75" customHeight="1" s="198">
      <c r="A16" s="1" t="n"/>
      <c r="B16" s="1" t="n"/>
      <c r="C16" s="7" t="inlineStr">
        <is>
          <t>Fecha Inicio:</t>
        </is>
      </c>
      <c r="D16" s="229" t="n">
        <v>45993</v>
      </c>
      <c r="E16" s="223" t="n"/>
      <c r="F16" s="1" t="n"/>
      <c r="G16" s="16" t="inlineStr">
        <is>
          <t>Moneda</t>
        </is>
      </c>
      <c r="H16" s="16">
        <f>D19</f>
        <v/>
      </c>
      <c r="I16" s="17" t="n"/>
      <c r="J16" s="3" t="n"/>
      <c r="K16" s="1" t="n"/>
      <c r="L16" s="1" t="n"/>
      <c r="M16" s="4" t="n"/>
      <c r="N16" s="1" t="n"/>
      <c r="O16" s="1" t="n"/>
      <c r="P16" s="1" t="n"/>
      <c r="Q16" s="1" t="n"/>
      <c r="R16" s="1" t="n"/>
      <c r="S16" s="1" t="n"/>
      <c r="T16" s="5" t="n"/>
      <c r="U16" s="1" t="n"/>
      <c r="V16" s="1" t="n"/>
      <c r="W16" s="1" t="n"/>
      <c r="X16" s="1" t="n"/>
      <c r="Y16" s="1" t="n"/>
      <c r="Z16" s="1" t="n"/>
      <c r="AA16" s="1" t="n"/>
    </row>
    <row r="17" ht="15.75" customHeight="1" s="198">
      <c r="A17" s="1" t="n"/>
      <c r="B17" s="1" t="n"/>
      <c r="C17" s="7" t="inlineStr">
        <is>
          <t>Fecha Fin:</t>
        </is>
      </c>
      <c r="D17" s="229" t="n">
        <v>46006</v>
      </c>
      <c r="E17" s="223" t="n"/>
      <c r="F17" s="1" t="n"/>
      <c r="G17" s="7" t="inlineStr">
        <is>
          <t>Inversión</t>
        </is>
      </c>
      <c r="H17" s="18">
        <f>N41</f>
        <v/>
      </c>
      <c r="I17" s="17" t="n"/>
      <c r="J17" s="3" t="n"/>
      <c r="K17" s="1" t="n"/>
      <c r="L17" s="1" t="n"/>
      <c r="M17" s="4" t="n"/>
      <c r="N17" s="1" t="n"/>
      <c r="O17" s="1" t="n"/>
      <c r="P17" s="1" t="n"/>
      <c r="Q17" s="1" t="n"/>
      <c r="R17" s="1" t="n"/>
      <c r="S17" s="1" t="n"/>
      <c r="T17" s="5" t="n"/>
      <c r="U17" s="1" t="n"/>
      <c r="V17" s="1" t="n"/>
      <c r="W17" s="1" t="n"/>
      <c r="X17" s="1" t="n"/>
      <c r="Y17" s="1" t="n"/>
      <c r="Z17" s="1" t="n"/>
      <c r="AA17" s="1" t="n"/>
    </row>
    <row r="18" ht="15.75" customHeight="1" s="198">
      <c r="A18" s="1" t="n"/>
      <c r="B18" s="1" t="n"/>
      <c r="C18" s="7" t="inlineStr">
        <is>
          <t>Costo Total:</t>
        </is>
      </c>
      <c r="D18" s="230">
        <f>H19</f>
        <v/>
      </c>
      <c r="E18" s="223" t="n"/>
      <c r="F18" s="1" t="n"/>
      <c r="G18" s="7" t="inlineStr">
        <is>
          <t>I.V.A</t>
        </is>
      </c>
      <c r="H18" s="18" t="n">
        <v>0</v>
      </c>
      <c r="I18" s="17" t="n"/>
      <c r="J18" s="3" t="n"/>
      <c r="K18" s="1" t="n"/>
      <c r="L18" s="1" t="n"/>
      <c r="M18" s="4" t="n"/>
      <c r="N18" s="1" t="n"/>
      <c r="O18" s="1" t="n"/>
      <c r="P18" s="1" t="n"/>
      <c r="Q18" s="1" t="n"/>
      <c r="R18" s="1" t="n"/>
      <c r="S18" s="1" t="n"/>
      <c r="T18" s="5" t="n"/>
      <c r="U18" s="1" t="n"/>
      <c r="V18" s="1" t="n"/>
      <c r="W18" s="1" t="n"/>
      <c r="X18" s="1" t="n"/>
      <c r="Y18" s="1" t="n"/>
      <c r="Z18" s="1" t="n"/>
      <c r="AA18" s="1" t="n"/>
    </row>
    <row r="19" ht="15.75" customHeight="1" s="198">
      <c r="A19" s="1" t="n"/>
      <c r="B19" s="1" t="n"/>
      <c r="C19" s="7" t="inlineStr">
        <is>
          <t>Moneda:</t>
        </is>
      </c>
      <c r="D19" s="231" t="inlineStr">
        <is>
          <t>MXN</t>
        </is>
      </c>
      <c r="E19" s="223" t="n"/>
      <c r="F19" s="1" t="n"/>
      <c r="G19" s="7" t="inlineStr">
        <is>
          <t>Total</t>
        </is>
      </c>
      <c r="H19" s="18">
        <f>H17+H18</f>
        <v/>
      </c>
      <c r="I19" s="17" t="n"/>
      <c r="J19" s="3" t="n"/>
      <c r="K19" s="1" t="n"/>
      <c r="L19" s="1" t="n"/>
      <c r="M19" s="4" t="n"/>
      <c r="N19" s="1" t="n"/>
      <c r="O19" s="1" t="n"/>
      <c r="P19" s="1" t="n"/>
      <c r="Q19" s="1" t="n"/>
      <c r="R19" s="1" t="n"/>
      <c r="S19" s="1" t="n"/>
      <c r="T19" s="5" t="n"/>
      <c r="U19" s="1" t="n"/>
      <c r="V19" s="1" t="n"/>
      <c r="W19" s="1" t="n"/>
      <c r="X19" s="1" t="n"/>
      <c r="Y19" s="1" t="n"/>
      <c r="Z19" s="1" t="n"/>
      <c r="AA19" s="1" t="n"/>
    </row>
    <row r="20" ht="15.75" customHeight="1" s="198">
      <c r="A20" s="1" t="n"/>
      <c r="B20" s="1" t="n"/>
      <c r="C20" s="7" t="inlineStr">
        <is>
          <t>CPS</t>
        </is>
      </c>
      <c r="D20" s="224" t="inlineStr">
        <is>
          <t>Pendiente de llenar por ventas</t>
        </is>
      </c>
      <c r="E20" s="223" t="n"/>
      <c r="F20" s="1" t="n"/>
      <c r="G20" s="1" t="n"/>
      <c r="H20" s="1" t="n"/>
      <c r="I20" s="2" t="n"/>
      <c r="J20" s="3" t="n"/>
      <c r="K20" s="1" t="n"/>
      <c r="L20" s="1" t="n"/>
      <c r="M20" s="4" t="n"/>
      <c r="N20" s="1" t="n"/>
      <c r="O20" s="1" t="n"/>
      <c r="P20" s="1" t="n"/>
      <c r="Q20" s="1" t="n"/>
      <c r="R20" s="1" t="n"/>
      <c r="S20" s="1" t="n"/>
      <c r="T20" s="5" t="n"/>
      <c r="U20" s="1" t="n"/>
      <c r="V20" s="1" t="n"/>
      <c r="W20" s="1" t="n"/>
      <c r="X20" s="1" t="n"/>
      <c r="Y20" s="1" t="n"/>
      <c r="Z20" s="1" t="n"/>
      <c r="AA20" s="1" t="n"/>
    </row>
    <row r="21" ht="27.75" customHeight="1" s="198">
      <c r="A21" s="1" t="n"/>
      <c r="B21" s="1" t="n"/>
      <c r="C21" s="19" t="inlineStr">
        <is>
          <t>Master Contract Anuncios de internet</t>
        </is>
      </c>
      <c r="D21" s="224" t="inlineStr">
        <is>
          <t>Pendiente de llenar por ventas</t>
        </is>
      </c>
      <c r="E21" s="223" t="n"/>
      <c r="F21" s="1" t="n"/>
      <c r="G21" s="1" t="n"/>
      <c r="H21" s="1" t="n"/>
      <c r="I21" s="2" t="n"/>
      <c r="J21" s="3" t="n"/>
      <c r="K21" s="1" t="n"/>
      <c r="L21" s="1" t="n"/>
      <c r="M21" s="4" t="n"/>
      <c r="N21" s="1" t="n"/>
      <c r="O21" s="1" t="n"/>
      <c r="P21" s="1" t="n"/>
      <c r="Q21" s="1" t="n"/>
      <c r="R21" s="1" t="n"/>
      <c r="S21" s="1" t="n"/>
      <c r="T21" s="5" t="n"/>
      <c r="U21" s="1" t="n"/>
      <c r="V21" s="1" t="n"/>
      <c r="W21" s="1" t="n"/>
      <c r="X21" s="1" t="n"/>
      <c r="Y21" s="1" t="n"/>
      <c r="Z21" s="1" t="n"/>
      <c r="AA21" s="1" t="n"/>
    </row>
    <row r="22" ht="29" customHeight="1" s="198">
      <c r="A22" s="1" t="n"/>
      <c r="B22" s="1" t="n"/>
      <c r="C22" s="19" t="inlineStr">
        <is>
          <t>Master Contract Acciones especiales</t>
        </is>
      </c>
      <c r="D22" s="224" t="inlineStr">
        <is>
          <t>Pendiente de llenar por ventas</t>
        </is>
      </c>
      <c r="E22" s="223" t="n"/>
      <c r="F22" s="1" t="n"/>
      <c r="G22" s="1" t="n"/>
      <c r="H22" s="1" t="n"/>
      <c r="I22" s="2" t="n"/>
      <c r="J22" s="3" t="n"/>
      <c r="K22" s="1" t="n"/>
      <c r="L22" s="20" t="n"/>
      <c r="M22" s="4" t="n"/>
      <c r="N22" s="1" t="n"/>
      <c r="O22" s="1" t="n"/>
      <c r="P22" s="21" t="n"/>
      <c r="Q22" s="1" t="n"/>
      <c r="R22" s="1" t="n"/>
      <c r="S22" s="1" t="n"/>
      <c r="T22" s="5" t="n"/>
      <c r="U22" s="1" t="n"/>
      <c r="V22" s="1" t="n"/>
      <c r="W22" s="1" t="n"/>
      <c r="X22" s="1" t="n"/>
      <c r="Y22" s="1" t="n"/>
      <c r="Z22" s="1" t="n"/>
      <c r="AA22" s="1" t="n"/>
    </row>
    <row r="23" ht="15.75" customHeight="1" s="198">
      <c r="A23" s="1" t="n"/>
      <c r="B23" s="1" t="n"/>
      <c r="C23" s="1" t="n"/>
      <c r="D23" s="1" t="n"/>
      <c r="E23" s="1" t="n"/>
      <c r="F23" s="1" t="n"/>
      <c r="G23" s="1" t="n"/>
      <c r="H23" s="1" t="n"/>
      <c r="I23" s="2" t="n"/>
      <c r="J23" s="3" t="n"/>
      <c r="K23" s="1" t="n"/>
      <c r="L23" s="1" t="n"/>
      <c r="M23" s="4" t="n"/>
      <c r="N23" s="1" t="n"/>
      <c r="O23" s="1" t="n"/>
      <c r="P23" s="1" t="n"/>
      <c r="Q23" s="1" t="n"/>
      <c r="R23" s="1" t="n"/>
      <c r="S23" s="1" t="n"/>
      <c r="T23" s="22" t="n"/>
      <c r="U23" s="1" t="n"/>
      <c r="V23" s="1" t="n"/>
      <c r="W23" s="1" t="n"/>
      <c r="X23" s="1" t="n"/>
      <c r="Y23" s="1" t="n"/>
      <c r="Z23" s="1" t="n"/>
      <c r="AA23" s="1" t="n"/>
    </row>
    <row r="24" ht="39" customHeight="1" s="198">
      <c r="A24" s="1" t="n"/>
      <c r="B24" s="232" t="inlineStr">
        <is>
          <t>PAUTA</t>
        </is>
      </c>
      <c r="C24" s="222" t="n"/>
      <c r="D24" s="222" t="n"/>
      <c r="E24" s="222" t="n"/>
      <c r="F24" s="222" t="n"/>
      <c r="G24" s="222" t="n"/>
      <c r="H24" s="222" t="n"/>
      <c r="I24" s="222" t="n"/>
      <c r="J24" s="222" t="n"/>
      <c r="K24" s="222" t="n"/>
      <c r="L24" s="222" t="n"/>
      <c r="M24" s="222" t="n"/>
      <c r="N24" s="222" t="n"/>
      <c r="O24" s="222" t="n"/>
      <c r="P24" s="222" t="n"/>
      <c r="Q24" s="222" t="n"/>
      <c r="R24" s="222" t="n"/>
      <c r="S24" s="222" t="n"/>
      <c r="T24" s="222" t="n"/>
      <c r="U24" s="223" t="n"/>
      <c r="V24" s="1" t="n"/>
      <c r="W24" s="1" t="n"/>
      <c r="X24" s="1" t="n"/>
      <c r="Y24" s="1" t="n"/>
      <c r="Z24" s="1" t="n"/>
      <c r="AA24" s="1" t="n"/>
    </row>
    <row r="25" ht="45" customHeight="1" s="198">
      <c r="A25" s="1" t="n"/>
      <c r="B25" s="23" t="inlineStr">
        <is>
          <t>Producto</t>
        </is>
      </c>
      <c r="C25" s="23" t="inlineStr">
        <is>
          <t>Medidas
(Sólo Ad Ops)</t>
        </is>
      </c>
      <c r="D25" s="23" t="inlineStr">
        <is>
          <t>Vertical</t>
        </is>
      </c>
      <c r="E25" s="23" t="inlineStr">
        <is>
          <t>Plataforma</t>
        </is>
      </c>
      <c r="F25" s="23" t="inlineStr">
        <is>
          <t>Fecha inicio</t>
        </is>
      </c>
      <c r="G25" s="23" t="inlineStr">
        <is>
          <t>Fecha Fin</t>
        </is>
      </c>
      <c r="H25" s="23" t="inlineStr">
        <is>
          <t>Moneda</t>
        </is>
      </c>
      <c r="I25" s="24" t="inlineStr">
        <is>
          <t>Tarifa</t>
        </is>
      </c>
      <c r="J25" s="25" t="inlineStr">
        <is>
          <t>Tarifa
(NO USAR / OCULTAR)</t>
        </is>
      </c>
      <c r="K25" s="23" t="inlineStr">
        <is>
          <t>Tipo de Costo</t>
        </is>
      </c>
      <c r="L25" s="23" t="inlineStr">
        <is>
          <t>Contratado</t>
        </is>
      </c>
      <c r="M25" s="26" t="inlineStr">
        <is>
          <t>Contratado
(NO USAR / OCULTAR)</t>
        </is>
      </c>
      <c r="N25" s="233" t="inlineStr">
        <is>
          <t>Subtotal</t>
        </is>
      </c>
      <c r="O25" s="23" t="inlineStr">
        <is>
          <t>Frecuencia estimada</t>
        </is>
      </c>
      <c r="P25" s="23" t="inlineStr">
        <is>
          <t>CTR Promedio / Interaction rate estimado</t>
        </is>
      </c>
      <c r="Q25" s="23" t="inlineStr">
        <is>
          <t>Scan rate
(OCULTAR)</t>
        </is>
      </c>
      <c r="R25" s="23" t="inlineStr">
        <is>
          <t>Completion Rate 
(NO USAR / OCULTAR)</t>
        </is>
      </c>
      <c r="S25" s="233" t="inlineStr">
        <is>
          <t>Impactos estimados</t>
        </is>
      </c>
      <c r="T25" s="233" t="inlineStr">
        <is>
          <t>Views Estimados</t>
        </is>
      </c>
      <c r="U25" s="233" t="inlineStr">
        <is>
          <t>Clics estimados</t>
        </is>
      </c>
      <c r="V25" s="234" t="n"/>
      <c r="W25" s="1" t="n"/>
      <c r="X25" s="1" t="n"/>
      <c r="Y25" s="1" t="n"/>
      <c r="Z25" s="1" t="n"/>
      <c r="AA25" s="1" t="n"/>
    </row>
    <row r="26" ht="40.5" customHeight="1" s="198">
      <c r="A26" s="1" t="n"/>
      <c r="B26" s="29" t="n"/>
      <c r="C26" s="29" t="n"/>
      <c r="D26" s="29" t="n"/>
      <c r="E26" s="235" t="n"/>
      <c r="F26" s="236" t="n"/>
      <c r="G26" s="236" t="n"/>
      <c r="H26" s="29">
        <f>$D$19</f>
        <v/>
      </c>
      <c r="I26" s="32" t="n"/>
      <c r="J26" s="33" t="n"/>
      <c r="K26" s="237" t="inlineStr">
        <is>
          <t>CPM</t>
        </is>
      </c>
      <c r="L26" s="35" t="n"/>
      <c r="M26" s="36" t="n"/>
      <c r="N26" s="37" t="n"/>
      <c r="O26" s="29" t="n"/>
      <c r="P26" s="38" t="n"/>
      <c r="Q26" s="238" t="n"/>
      <c r="R26" s="239" t="n"/>
      <c r="S26" s="237" t="n"/>
      <c r="T26" s="237" t="n"/>
      <c r="U26" s="237" t="n"/>
      <c r="V26" s="1" t="n"/>
      <c r="W26" s="1" t="n"/>
      <c r="X26" s="1" t="n"/>
      <c r="Y26" s="1" t="n"/>
      <c r="Z26" s="1" t="n"/>
      <c r="AA26" s="1" t="n"/>
    </row>
    <row r="27" ht="40.5" customHeight="1" s="198">
      <c r="A27" s="1" t="n"/>
      <c r="B27" s="29" t="n"/>
      <c r="C27" s="29" t="n"/>
      <c r="D27" s="29" t="n"/>
      <c r="E27" s="235" t="n"/>
      <c r="F27" s="236" t="n"/>
      <c r="G27" s="236" t="n"/>
      <c r="H27" s="29">
        <f>$D$19</f>
        <v/>
      </c>
      <c r="I27" s="32" t="n"/>
      <c r="J27" s="33" t="n"/>
      <c r="K27" s="237" t="inlineStr">
        <is>
          <t>CPM</t>
        </is>
      </c>
      <c r="L27" s="35" t="n"/>
      <c r="M27" s="36" t="n"/>
      <c r="N27" s="37" t="n"/>
      <c r="O27" s="29" t="n"/>
      <c r="P27" s="38" t="n"/>
      <c r="Q27" s="238" t="n"/>
      <c r="R27" s="239" t="n"/>
      <c r="S27" s="237" t="n"/>
      <c r="T27" s="237" t="n"/>
      <c r="U27" s="237" t="n"/>
      <c r="V27" s="1" t="n"/>
      <c r="W27" s="1" t="n"/>
      <c r="X27" s="1" t="n"/>
      <c r="Y27" s="1" t="n"/>
      <c r="Z27" s="1" t="n"/>
      <c r="AA27" s="1" t="n"/>
    </row>
    <row r="28" ht="40.5" customHeight="1" s="198">
      <c r="A28" s="1" t="n"/>
      <c r="B28" s="29" t="n"/>
      <c r="C28" s="29" t="n"/>
      <c r="D28" s="29" t="n"/>
      <c r="E28" s="235" t="n"/>
      <c r="F28" s="236" t="n"/>
      <c r="G28" s="236" t="n"/>
      <c r="H28" s="29">
        <f>$D$19</f>
        <v/>
      </c>
      <c r="I28" s="32" t="n"/>
      <c r="J28" s="33" t="n"/>
      <c r="K28" s="237" t="inlineStr">
        <is>
          <t>CPM</t>
        </is>
      </c>
      <c r="L28" s="35" t="n"/>
      <c r="M28" s="36" t="n"/>
      <c r="N28" s="37" t="n"/>
      <c r="O28" s="29" t="n"/>
      <c r="P28" s="38" t="n"/>
      <c r="Q28" s="238" t="n"/>
      <c r="R28" s="239" t="n"/>
      <c r="S28" s="237" t="n"/>
      <c r="T28" s="237" t="n"/>
      <c r="U28" s="237" t="n"/>
      <c r="V28" s="1" t="n"/>
      <c r="W28" s="1" t="n"/>
      <c r="X28" s="1" t="n"/>
      <c r="Y28" s="1" t="n"/>
      <c r="Z28" s="1" t="n"/>
      <c r="AA28" s="1" t="n"/>
    </row>
    <row r="29" ht="40.5" customHeight="1" s="198">
      <c r="A29" s="1" t="n"/>
      <c r="B29" s="29" t="n"/>
      <c r="C29" s="29" t="n"/>
      <c r="D29" s="29" t="n"/>
      <c r="E29" s="235" t="n"/>
      <c r="F29" s="236" t="n"/>
      <c r="G29" s="236" t="n"/>
      <c r="H29" s="29">
        <f>$D$19</f>
        <v/>
      </c>
      <c r="I29" s="32" t="n"/>
      <c r="J29" s="33" t="n"/>
      <c r="K29" s="237" t="inlineStr">
        <is>
          <t>CPM</t>
        </is>
      </c>
      <c r="L29" s="35" t="n"/>
      <c r="M29" s="36" t="n"/>
      <c r="N29" s="37" t="n"/>
      <c r="O29" s="29" t="n"/>
      <c r="P29" s="38" t="n"/>
      <c r="Q29" s="238" t="n"/>
      <c r="R29" s="239" t="n"/>
      <c r="S29" s="237" t="n"/>
      <c r="T29" s="237" t="n"/>
      <c r="U29" s="237" t="n"/>
      <c r="V29" s="1" t="n"/>
      <c r="W29" s="1" t="n"/>
      <c r="X29" s="1" t="n"/>
      <c r="Y29" s="1" t="n"/>
      <c r="Z29" s="1" t="n"/>
      <c r="AA29" s="1" t="n"/>
    </row>
    <row r="30" ht="40.5" customHeight="1" s="198">
      <c r="A30" s="1" t="n"/>
      <c r="B30" s="29" t="n"/>
      <c r="C30" s="29" t="n"/>
      <c r="D30" s="29" t="n"/>
      <c r="E30" s="235" t="n"/>
      <c r="F30" s="236" t="n"/>
      <c r="G30" s="236" t="n"/>
      <c r="H30" s="29">
        <f>$D$19</f>
        <v/>
      </c>
      <c r="I30" s="32" t="n"/>
      <c r="J30" s="33" t="n"/>
      <c r="K30" s="237" t="inlineStr">
        <is>
          <t>CPM</t>
        </is>
      </c>
      <c r="L30" s="35" t="n"/>
      <c r="M30" s="36" t="n"/>
      <c r="N30" s="37" t="n"/>
      <c r="O30" s="29" t="n"/>
      <c r="P30" s="38" t="n"/>
      <c r="Q30" s="238" t="n"/>
      <c r="R30" s="239" t="n"/>
      <c r="S30" s="237" t="n"/>
      <c r="T30" s="237" t="n"/>
      <c r="U30" s="237" t="n"/>
      <c r="V30" s="1" t="n"/>
      <c r="W30" s="1" t="n"/>
      <c r="X30" s="1" t="n"/>
      <c r="Y30" s="1" t="n"/>
      <c r="Z30" s="1" t="n"/>
      <c r="AA30" s="1" t="n"/>
    </row>
    <row r="31" ht="40.5" customHeight="1" s="198">
      <c r="A31" s="1" t="n"/>
      <c r="B31" s="29" t="n"/>
      <c r="C31" s="29" t="n"/>
      <c r="D31" s="29" t="n"/>
      <c r="E31" s="235" t="n"/>
      <c r="F31" s="236" t="n"/>
      <c r="G31" s="236" t="n"/>
      <c r="H31" s="29">
        <f>$D$19</f>
        <v/>
      </c>
      <c r="I31" s="32" t="n"/>
      <c r="J31" s="33" t="n"/>
      <c r="K31" s="237" t="inlineStr">
        <is>
          <t>CPM</t>
        </is>
      </c>
      <c r="L31" s="35" t="n"/>
      <c r="M31" s="36" t="n"/>
      <c r="N31" s="37" t="n"/>
      <c r="O31" s="29" t="n"/>
      <c r="P31" s="38" t="n"/>
      <c r="Q31" s="238" t="n"/>
      <c r="R31" s="239" t="n"/>
      <c r="S31" s="237" t="n"/>
      <c r="T31" s="237" t="n"/>
      <c r="U31" s="237" t="n"/>
      <c r="V31" s="1" t="n"/>
      <c r="W31" s="1" t="n"/>
      <c r="X31" s="1" t="n"/>
      <c r="Y31" s="1" t="n"/>
      <c r="Z31" s="1" t="n"/>
      <c r="AA31" s="1" t="n"/>
    </row>
    <row r="32" ht="40.5" customHeight="1" s="198">
      <c r="A32" s="1" t="n"/>
      <c r="B32" s="29" t="n"/>
      <c r="C32" s="29" t="n"/>
      <c r="D32" s="29" t="n"/>
      <c r="E32" s="235" t="n"/>
      <c r="F32" s="236" t="n"/>
      <c r="G32" s="236" t="n"/>
      <c r="H32" s="29">
        <f>$D$19</f>
        <v/>
      </c>
      <c r="I32" s="32" t="n"/>
      <c r="J32" s="33" t="n"/>
      <c r="K32" s="237" t="inlineStr">
        <is>
          <t>CPM</t>
        </is>
      </c>
      <c r="L32" s="35" t="n"/>
      <c r="M32" s="36" t="n"/>
      <c r="N32" s="37" t="n"/>
      <c r="O32" s="29" t="n"/>
      <c r="P32" s="38" t="n"/>
      <c r="Q32" s="238" t="n"/>
      <c r="R32" s="239" t="n"/>
      <c r="S32" s="237" t="n"/>
      <c r="T32" s="237" t="n"/>
      <c r="U32" s="237" t="n"/>
      <c r="V32" s="1" t="n"/>
      <c r="W32" s="1" t="n"/>
      <c r="X32" s="1" t="n"/>
      <c r="Y32" s="1" t="n"/>
      <c r="Z32" s="1" t="n"/>
      <c r="AA32" s="1" t="n"/>
    </row>
    <row r="33" ht="40.5" customHeight="1" s="198">
      <c r="A33" s="1" t="n"/>
      <c r="B33" s="29" t="n"/>
      <c r="C33" s="29" t="n"/>
      <c r="D33" s="29" t="n"/>
      <c r="E33" s="235" t="n"/>
      <c r="F33" s="236" t="n"/>
      <c r="G33" s="236" t="n"/>
      <c r="H33" s="29">
        <f>$D$19</f>
        <v/>
      </c>
      <c r="I33" s="32" t="n"/>
      <c r="J33" s="33" t="n"/>
      <c r="K33" s="237" t="inlineStr">
        <is>
          <t>CPM</t>
        </is>
      </c>
      <c r="L33" s="35" t="n"/>
      <c r="M33" s="36" t="n"/>
      <c r="N33" s="37" t="n"/>
      <c r="O33" s="29" t="n"/>
      <c r="P33" s="38" t="n"/>
      <c r="Q33" s="238" t="n"/>
      <c r="R33" s="239" t="n"/>
      <c r="S33" s="237" t="n"/>
      <c r="T33" s="237" t="n"/>
      <c r="U33" s="237" t="n"/>
      <c r="V33" s="1" t="n"/>
      <c r="W33" s="1" t="n"/>
      <c r="X33" s="1" t="n"/>
      <c r="Y33" s="1" t="n"/>
      <c r="Z33" s="1" t="n"/>
      <c r="AA33" s="1" t="n"/>
    </row>
    <row r="34" ht="40.5" customHeight="1" s="198">
      <c r="A34" s="1" t="n"/>
      <c r="B34" s="29" t="n"/>
      <c r="C34" s="29" t="n"/>
      <c r="D34" s="29" t="n"/>
      <c r="E34" s="235" t="n"/>
      <c r="F34" s="236" t="n"/>
      <c r="G34" s="236" t="n"/>
      <c r="H34" s="29">
        <f>$D$19</f>
        <v/>
      </c>
      <c r="I34" s="32" t="n"/>
      <c r="J34" s="33" t="n"/>
      <c r="K34" s="237" t="inlineStr">
        <is>
          <t>CPM</t>
        </is>
      </c>
      <c r="L34" s="35" t="n"/>
      <c r="M34" s="36" t="n"/>
      <c r="N34" s="37" t="n"/>
      <c r="O34" s="29" t="n"/>
      <c r="P34" s="38" t="n"/>
      <c r="Q34" s="238" t="n"/>
      <c r="R34" s="239" t="n"/>
      <c r="S34" s="237" t="n"/>
      <c r="T34" s="237" t="n"/>
      <c r="U34" s="237" t="n"/>
      <c r="V34" s="1" t="n"/>
      <c r="W34" s="1" t="n"/>
      <c r="X34" s="1" t="n"/>
      <c r="Y34" s="1" t="n"/>
      <c r="Z34" s="1" t="n"/>
      <c r="AA34" s="1" t="n"/>
    </row>
    <row r="35" ht="40.5" customHeight="1" s="198">
      <c r="A35" s="1" t="n"/>
      <c r="B35" s="29" t="n"/>
      <c r="C35" s="29" t="n"/>
      <c r="D35" s="29" t="n"/>
      <c r="E35" s="235" t="n"/>
      <c r="F35" s="236" t="n"/>
      <c r="G35" s="236" t="n"/>
      <c r="H35" s="29">
        <f>$D$19</f>
        <v/>
      </c>
      <c r="I35" s="32" t="n"/>
      <c r="J35" s="33" t="n"/>
      <c r="K35" s="237" t="inlineStr">
        <is>
          <t>CPM</t>
        </is>
      </c>
      <c r="L35" s="35" t="n"/>
      <c r="M35" s="36" t="n"/>
      <c r="N35" s="37" t="n"/>
      <c r="O35" s="29" t="n"/>
      <c r="P35" s="38" t="n"/>
      <c r="Q35" s="238" t="n"/>
      <c r="R35" s="239" t="n"/>
      <c r="S35" s="237" t="n"/>
      <c r="T35" s="237" t="n"/>
      <c r="U35" s="237" t="n"/>
      <c r="V35" s="1" t="n"/>
      <c r="W35" s="1" t="n"/>
      <c r="X35" s="1" t="n"/>
      <c r="Y35" s="1" t="n"/>
      <c r="Z35" s="1" t="n"/>
      <c r="AA35" s="1" t="n"/>
    </row>
    <row r="36" ht="40.5" customHeight="1" s="198">
      <c r="A36" s="1" t="n"/>
      <c r="B36" s="29" t="n"/>
      <c r="C36" s="29" t="n"/>
      <c r="D36" s="29" t="n"/>
      <c r="E36" s="235" t="n"/>
      <c r="F36" s="236" t="n"/>
      <c r="G36" s="236" t="n"/>
      <c r="H36" s="29">
        <f>$D$19</f>
        <v/>
      </c>
      <c r="I36" s="32" t="n"/>
      <c r="J36" s="33" t="n"/>
      <c r="K36" s="237" t="inlineStr">
        <is>
          <t>CPM</t>
        </is>
      </c>
      <c r="L36" s="35" t="n"/>
      <c r="M36" s="36" t="n"/>
      <c r="N36" s="37" t="n"/>
      <c r="O36" s="29" t="n"/>
      <c r="P36" s="38" t="n"/>
      <c r="Q36" s="238" t="n"/>
      <c r="R36" s="239" t="n"/>
      <c r="S36" s="237" t="n"/>
      <c r="T36" s="237" t="n"/>
      <c r="U36" s="237" t="n"/>
      <c r="V36" s="1" t="n"/>
      <c r="W36" s="1" t="n"/>
      <c r="X36" s="1" t="n"/>
      <c r="Y36" s="1" t="n"/>
      <c r="Z36" s="1" t="n"/>
      <c r="AA36" s="1" t="n"/>
    </row>
    <row r="37" ht="40.5" customHeight="1" s="198">
      <c r="A37" s="1" t="n"/>
      <c r="B37" s="29" t="n"/>
      <c r="C37" s="29" t="n"/>
      <c r="D37" s="29" t="n"/>
      <c r="E37" s="235" t="n"/>
      <c r="F37" s="236" t="n"/>
      <c r="G37" s="236" t="n"/>
      <c r="H37" s="29">
        <f>$D$19</f>
        <v/>
      </c>
      <c r="I37" s="32" t="n"/>
      <c r="J37" s="33" t="n"/>
      <c r="K37" s="237" t="inlineStr">
        <is>
          <t>CPM</t>
        </is>
      </c>
      <c r="L37" s="35" t="n"/>
      <c r="M37" s="36" t="n"/>
      <c r="N37" s="37" t="n"/>
      <c r="O37" s="29" t="n"/>
      <c r="P37" s="38" t="n"/>
      <c r="Q37" s="238" t="n"/>
      <c r="R37" s="239" t="n"/>
      <c r="S37" s="237" t="n"/>
      <c r="T37" s="237" t="n"/>
      <c r="U37" s="237" t="n"/>
      <c r="V37" s="1" t="n"/>
      <c r="W37" s="1" t="n"/>
      <c r="X37" s="1" t="n"/>
      <c r="Y37" s="1" t="n"/>
      <c r="Z37" s="1" t="n"/>
      <c r="AA37" s="1" t="n"/>
    </row>
    <row r="38" ht="40.5" customHeight="1" s="198">
      <c r="A38" s="1" t="n"/>
      <c r="B38" s="29" t="n"/>
      <c r="C38" s="29" t="n"/>
      <c r="D38" s="29" t="n"/>
      <c r="E38" s="235" t="n"/>
      <c r="F38" s="236" t="n"/>
      <c r="G38" s="236" t="n"/>
      <c r="H38" s="29">
        <f>$D$19</f>
        <v/>
      </c>
      <c r="I38" s="32" t="n"/>
      <c r="J38" s="33" t="n"/>
      <c r="K38" s="237" t="inlineStr">
        <is>
          <t>CPM</t>
        </is>
      </c>
      <c r="L38" s="35" t="n"/>
      <c r="M38" s="36" t="n"/>
      <c r="N38" s="37" t="n"/>
      <c r="O38" s="29" t="n"/>
      <c r="P38" s="38" t="n"/>
      <c r="Q38" s="238" t="n"/>
      <c r="R38" s="239" t="n"/>
      <c r="S38" s="237" t="n"/>
      <c r="T38" s="237" t="n"/>
      <c r="U38" s="237" t="n"/>
      <c r="V38" s="1" t="n"/>
      <c r="W38" s="1" t="n"/>
      <c r="X38" s="1" t="n"/>
      <c r="Y38" s="1" t="n"/>
      <c r="Z38" s="1" t="n"/>
      <c r="AA38" s="1" t="n"/>
    </row>
    <row r="39" ht="40.5" customHeight="1" s="198">
      <c r="A39" s="1" t="n"/>
      <c r="B39" s="29" t="n"/>
      <c r="C39" s="29" t="n"/>
      <c r="D39" s="29" t="n"/>
      <c r="E39" s="235" t="n"/>
      <c r="F39" s="236" t="n"/>
      <c r="G39" s="236" t="n"/>
      <c r="H39" s="29">
        <f>$D$19</f>
        <v/>
      </c>
      <c r="I39" s="32" t="n"/>
      <c r="J39" s="33" t="n"/>
      <c r="K39" s="237" t="inlineStr">
        <is>
          <t>CPM</t>
        </is>
      </c>
      <c r="L39" s="35" t="n"/>
      <c r="M39" s="36" t="n"/>
      <c r="N39" s="37" t="n"/>
      <c r="O39" s="29" t="n"/>
      <c r="P39" s="38" t="n"/>
      <c r="Q39" s="238" t="n"/>
      <c r="R39" s="239" t="n"/>
      <c r="S39" s="237" t="n"/>
      <c r="T39" s="237" t="n"/>
      <c r="U39" s="237" t="n"/>
      <c r="V39" s="1" t="n"/>
      <c r="W39" s="1" t="n"/>
      <c r="X39" s="1" t="n"/>
      <c r="Y39" s="1" t="n"/>
      <c r="Z39" s="1" t="n"/>
      <c r="AA39" s="1" t="n"/>
    </row>
    <row r="40" ht="40.5" customHeight="1" s="198">
      <c r="A40" s="1" t="n"/>
      <c r="B40" s="29" t="n"/>
      <c r="C40" s="29" t="n"/>
      <c r="D40" s="29" t="n"/>
      <c r="E40" s="235" t="n"/>
      <c r="F40" s="236" t="n"/>
      <c r="G40" s="236" t="n"/>
      <c r="H40" s="29">
        <f>$D$19</f>
        <v/>
      </c>
      <c r="I40" s="32" t="n"/>
      <c r="J40" s="33" t="n"/>
      <c r="K40" s="237" t="inlineStr">
        <is>
          <t>CPM</t>
        </is>
      </c>
      <c r="L40" s="35" t="n"/>
      <c r="M40" s="36" t="n"/>
      <c r="N40" s="37" t="n"/>
      <c r="O40" s="29" t="n"/>
      <c r="P40" s="38" t="n"/>
      <c r="Q40" s="238" t="n"/>
      <c r="R40" s="239" t="n"/>
      <c r="S40" s="237" t="n"/>
      <c r="T40" s="237" t="n"/>
      <c r="U40" s="237" t="n"/>
      <c r="V40" s="1" t="n"/>
      <c r="W40" s="1" t="n"/>
      <c r="X40" s="1" t="n"/>
      <c r="Y40" s="1" t="n"/>
      <c r="Z40" s="1" t="n"/>
      <c r="AA40" s="1" t="n"/>
    </row>
    <row r="41" ht="40.5" customHeight="1" s="198">
      <c r="A41" s="1" t="n"/>
      <c r="B41" s="45" t="n"/>
      <c r="C41" s="45" t="n"/>
      <c r="D41" s="45" t="n"/>
      <c r="E41" s="45" t="n"/>
      <c r="F41" s="45" t="n"/>
      <c r="G41" s="45" t="n"/>
      <c r="H41" s="45" t="n"/>
      <c r="I41" s="46" t="n"/>
      <c r="J41" s="47" t="n"/>
      <c r="K41" s="45" t="inlineStr">
        <is>
          <t>Total Pauta:</t>
        </is>
      </c>
      <c r="L41" s="45">
        <f>SUM(L26:L40)</f>
        <v/>
      </c>
      <c r="M41" s="26">
        <f>SUM(M26:M40)</f>
        <v/>
      </c>
      <c r="N41" s="48">
        <f>SUM(N26:N40)</f>
        <v/>
      </c>
      <c r="O41" s="45" t="n"/>
      <c r="P41" s="45" t="n"/>
      <c r="Q41" s="45" t="n"/>
      <c r="R41" s="45" t="n"/>
      <c r="S41" s="240">
        <f>SUM(S26:S40)</f>
        <v/>
      </c>
      <c r="T41" s="240">
        <f>SUM(T26:T40)</f>
        <v/>
      </c>
      <c r="U41" s="240">
        <f>SUM(U26:U40)</f>
        <v/>
      </c>
      <c r="V41" s="1" t="n"/>
      <c r="W41" s="1" t="n"/>
      <c r="X41" s="1" t="n"/>
      <c r="Y41" s="1" t="n"/>
      <c r="Z41" s="1" t="n"/>
      <c r="AA41" s="1" t="n"/>
    </row>
    <row r="42" ht="13.5" customHeight="1" s="198">
      <c r="A42" s="1" t="n"/>
      <c r="B42" s="1" t="n"/>
      <c r="C42" s="1" t="n"/>
      <c r="D42" s="1" t="n"/>
      <c r="E42" s="1" t="n"/>
      <c r="F42" s="1" t="n"/>
      <c r="G42" s="1" t="n"/>
      <c r="H42" s="1" t="n"/>
      <c r="I42" s="2" t="n"/>
      <c r="J42" s="3" t="n"/>
      <c r="K42" s="1" t="n"/>
      <c r="L42" s="1" t="n"/>
      <c r="M42" s="4" t="n"/>
      <c r="N42" s="1" t="n"/>
      <c r="O42" s="1" t="n"/>
      <c r="P42" s="1" t="n"/>
      <c r="Q42" s="1" t="n"/>
      <c r="R42" s="1" t="n"/>
      <c r="S42" s="1" t="n"/>
      <c r="T42" s="5" t="n"/>
      <c r="U42" s="1" t="n"/>
      <c r="V42" s="1" t="n"/>
      <c r="W42" s="1" t="n"/>
      <c r="X42" s="1" t="n"/>
      <c r="Y42" s="1" t="n"/>
      <c r="Z42" s="1" t="n"/>
      <c r="AA42" s="1" t="n"/>
    </row>
    <row r="43" ht="13.5" customHeight="1" s="198">
      <c r="A43" s="1" t="n"/>
      <c r="B43" s="1" t="n"/>
      <c r="C43" s="1" t="n"/>
      <c r="D43" s="1" t="n"/>
      <c r="E43" s="1" t="n"/>
      <c r="F43" s="1" t="n"/>
      <c r="G43" s="1" t="n"/>
      <c r="H43" s="1" t="n"/>
      <c r="I43" s="2" t="n"/>
      <c r="J43" s="3" t="n"/>
      <c r="K43" s="1" t="n"/>
      <c r="L43" s="1" t="n"/>
      <c r="M43" s="4" t="n"/>
      <c r="N43" s="1" t="n"/>
      <c r="O43" s="1" t="n"/>
      <c r="P43" s="62" t="n"/>
      <c r="Q43" s="62" t="n"/>
      <c r="R43" s="241" t="inlineStr">
        <is>
          <t>Subtotal</t>
        </is>
      </c>
      <c r="S43" s="223" t="n"/>
      <c r="T43" s="242">
        <f>H17</f>
        <v/>
      </c>
      <c r="U43" s="223" t="n"/>
      <c r="V43" s="1" t="n"/>
      <c r="W43" s="1" t="n"/>
      <c r="X43" s="1" t="n"/>
      <c r="Y43" s="1" t="n"/>
      <c r="Z43" s="1" t="n"/>
      <c r="AA43" s="1" t="n"/>
    </row>
    <row r="44" ht="13.5" customHeight="1" s="198">
      <c r="A44" s="1" t="n"/>
      <c r="B44" s="1" t="n"/>
      <c r="C44" s="1" t="n"/>
      <c r="D44" s="1" t="n"/>
      <c r="E44" s="1" t="n"/>
      <c r="F44" s="1" t="n"/>
      <c r="G44" s="1" t="n"/>
      <c r="H44" s="1" t="n"/>
      <c r="I44" s="2" t="n"/>
      <c r="J44" s="3" t="n"/>
      <c r="K44" s="1" t="n"/>
      <c r="L44" s="1" t="n"/>
      <c r="M44" s="4" t="n"/>
      <c r="N44" s="1" t="n"/>
      <c r="O44" s="1" t="n"/>
      <c r="P44" s="63" t="n"/>
      <c r="Q44" s="63" t="n"/>
      <c r="R44" s="243" t="inlineStr">
        <is>
          <t>I.V.A.</t>
        </is>
      </c>
      <c r="S44" s="223" t="n"/>
      <c r="T44" s="244">
        <f>H18</f>
        <v/>
      </c>
      <c r="U44" s="223" t="n"/>
      <c r="V44" s="1" t="n"/>
      <c r="W44" s="1" t="n"/>
      <c r="X44" s="1" t="n"/>
      <c r="Y44" s="1" t="n"/>
      <c r="Z44" s="1" t="n"/>
      <c r="AA44" s="1" t="n"/>
    </row>
    <row r="45" ht="13.5" customHeight="1" s="198">
      <c r="A45" s="1" t="n"/>
      <c r="B45" s="1" t="n"/>
      <c r="C45" s="1" t="n"/>
      <c r="D45" s="1" t="n"/>
      <c r="E45" s="1" t="n"/>
      <c r="F45" s="1" t="n"/>
      <c r="G45" s="1" t="n"/>
      <c r="H45" s="1" t="n"/>
      <c r="I45" s="2" t="n"/>
      <c r="J45" s="3" t="n"/>
      <c r="K45" s="1" t="n"/>
      <c r="L45" s="1" t="n"/>
      <c r="M45" s="4" t="n"/>
      <c r="N45" s="1" t="n"/>
      <c r="O45" s="1" t="n"/>
      <c r="P45" s="62" t="n"/>
      <c r="Q45" s="62" t="n"/>
      <c r="R45" s="241" t="inlineStr">
        <is>
          <t>Total</t>
        </is>
      </c>
      <c r="S45" s="223" t="n"/>
      <c r="T45" s="242">
        <f>T43+T44</f>
        <v/>
      </c>
      <c r="U45" s="223" t="n"/>
      <c r="V45" s="1" t="n"/>
      <c r="W45" s="1" t="n"/>
      <c r="X45" s="1" t="n"/>
      <c r="Y45" s="1" t="n"/>
      <c r="Z45" s="1" t="n"/>
      <c r="AA45" s="1" t="n"/>
    </row>
    <row r="46" ht="13.5" customHeight="1" s="198">
      <c r="A46" s="1" t="n"/>
      <c r="B46" s="1" t="n"/>
      <c r="C46" s="1" t="n"/>
      <c r="D46" s="1" t="n"/>
      <c r="E46" s="1" t="n"/>
      <c r="F46" s="1" t="n"/>
      <c r="G46" s="1" t="n"/>
      <c r="H46" s="1" t="n"/>
      <c r="I46" s="2" t="n"/>
      <c r="J46" s="3" t="n"/>
      <c r="K46" s="1" t="n"/>
      <c r="L46" s="1" t="n"/>
      <c r="M46" s="4" t="n"/>
      <c r="N46" s="1" t="n"/>
      <c r="O46" s="1" t="n"/>
      <c r="P46" s="1" t="n"/>
      <c r="Q46" s="1" t="n"/>
      <c r="R46" s="1" t="n"/>
      <c r="S46" s="1" t="n"/>
      <c r="T46" s="5" t="n"/>
      <c r="U46" s="1" t="n"/>
      <c r="V46" s="1" t="n"/>
      <c r="W46" s="1" t="n"/>
      <c r="X46" s="1" t="n"/>
      <c r="Y46" s="1" t="n"/>
      <c r="Z46" s="1" t="n"/>
      <c r="AA46" s="1" t="n"/>
    </row>
    <row r="47" ht="13.5" customHeight="1" s="198">
      <c r="A47" s="1" t="n"/>
      <c r="B47" s="245" t="inlineStr">
        <is>
          <t>Términos y condiciones</t>
        </is>
      </c>
      <c r="C47" s="222" t="n"/>
      <c r="D47" s="222" t="n"/>
      <c r="E47" s="222" t="n"/>
      <c r="F47" s="222" t="n"/>
      <c r="G47" s="222" t="n"/>
      <c r="H47" s="222" t="n"/>
      <c r="I47" s="222" t="n"/>
      <c r="J47" s="222" t="n"/>
      <c r="K47" s="222" t="n"/>
      <c r="L47" s="222" t="n"/>
      <c r="M47" s="222" t="n"/>
      <c r="N47" s="222" t="n"/>
      <c r="O47" s="223" t="n"/>
      <c r="P47" s="64" t="n"/>
      <c r="Q47" s="64" t="n"/>
      <c r="R47" s="246" t="n"/>
      <c r="V47" s="1" t="n"/>
      <c r="W47" s="1" t="n"/>
      <c r="X47" s="1" t="n"/>
      <c r="Y47" s="1" t="n"/>
      <c r="Z47" s="1" t="n"/>
      <c r="AA47" s="1" t="n"/>
    </row>
    <row r="48" ht="78.75" customHeight="1" s="198">
      <c r="A48" s="65" t="n"/>
      <c r="B48" s="247" t="inlineStr">
        <is>
          <t>*Firmo la siguiente OI en el entendido que todos los datos para facturación son correctos y acepto que solo tengo un periodo de 5 días hábiles después de la firma para informar a TIM sobre cambios o modificaciones a la presente OI.
*Nota: Para las campañas que corran con 3PAD TAG´s deberán enviar un reporte diario de actividad con datos del adserver del cliente y se deberá conciliar la actividad a final de mes o actividad.
*El Cliente se obliga a pagar a TIM, por concepto de la(s) Campaña(s) Publicitaria(s) señalada(s) en la Sección 2 de la OI, la cantidad señalada en la Sección 12 de la OI más el impuesto al valor agregado correspondiente, el cual será 
especificado en la factura correspondiente, de conformidad con las Secciones 13 y 14 de la OI (la ""Contraprestación""). Las partes ratifican que las tarifas que se indican en la OI no incluyen pagos a terceros, contratación de servicios 
especiales, unidad de control remoto, material de grabación, arrendamiento de estudios, pago de servicios de actores, entre otros, mismos que serán por cuenta y a cargo del Cliente.</t>
        </is>
      </c>
      <c r="C48" s="248" t="n"/>
      <c r="D48" s="248" t="n"/>
      <c r="E48" s="248" t="n"/>
      <c r="F48" s="248" t="n"/>
      <c r="G48" s="248" t="n"/>
      <c r="H48" s="248" t="n"/>
      <c r="I48" s="248" t="n"/>
      <c r="J48" s="248" t="n"/>
      <c r="K48" s="248" t="n"/>
      <c r="L48" s="248" t="n"/>
      <c r="M48" s="248" t="n"/>
      <c r="N48" s="248" t="n"/>
      <c r="O48" s="249" t="n"/>
      <c r="P48" s="66" t="n"/>
      <c r="Q48" s="66" t="n"/>
      <c r="R48" s="66" t="n"/>
      <c r="S48" s="222" t="n"/>
      <c r="T48" s="222" t="n"/>
      <c r="U48" s="223" t="n"/>
      <c r="V48" s="1" t="n"/>
      <c r="W48" s="1" t="n"/>
      <c r="X48" s="1" t="n"/>
      <c r="Y48" s="1" t="n"/>
      <c r="Z48" s="1" t="n"/>
      <c r="AA48" s="1" t="n"/>
    </row>
    <row r="49" ht="37.5" customHeight="1" s="198">
      <c r="A49" s="65" t="n"/>
      <c r="B49" s="250" t="n"/>
      <c r="C49" s="251" t="n"/>
      <c r="D49" s="251" t="n"/>
      <c r="E49" s="251" t="n"/>
      <c r="F49" s="251" t="n"/>
      <c r="G49" s="251" t="n"/>
      <c r="H49" s="251" t="n"/>
      <c r="I49" s="251" t="n"/>
      <c r="J49" s="251" t="n"/>
      <c r="K49" s="251" t="n"/>
      <c r="L49" s="251" t="n"/>
      <c r="M49" s="251" t="n"/>
      <c r="N49" s="251" t="n"/>
      <c r="O49" s="252" t="n"/>
      <c r="P49" s="67" t="n"/>
      <c r="Q49" s="67" t="n"/>
      <c r="R49" s="67" t="n"/>
      <c r="S49" s="222" t="n"/>
      <c r="T49" s="222" t="n"/>
      <c r="U49" s="223" t="n"/>
      <c r="V49" s="1" t="n"/>
      <c r="W49" s="1" t="n"/>
      <c r="X49" s="1" t="n"/>
      <c r="Y49" s="1" t="n"/>
      <c r="Z49" s="1" t="n"/>
      <c r="AA49" s="1" t="n"/>
    </row>
    <row r="50" ht="13.5" customHeight="1" s="198">
      <c r="A50" s="1" t="n"/>
      <c r="B50" s="1" t="inlineStr">
        <is>
          <t>Actualizado: 17 de Noviembre de 2023</t>
        </is>
      </c>
      <c r="C50" s="1" t="n"/>
      <c r="D50" s="1" t="n"/>
      <c r="E50" s="1" t="n"/>
      <c r="F50" s="1" t="n"/>
      <c r="G50" s="1" t="n"/>
      <c r="H50" s="1" t="n"/>
      <c r="I50" s="2" t="n"/>
      <c r="J50" s="3" t="n"/>
      <c r="K50" s="1" t="n"/>
      <c r="L50" s="1" t="n"/>
      <c r="M50" s="4" t="n"/>
      <c r="N50" s="1" t="n"/>
      <c r="O50" s="1" t="n"/>
      <c r="P50" s="1" t="n"/>
      <c r="Q50" s="1" t="n"/>
      <c r="R50" s="1" t="n"/>
      <c r="S50" s="1" t="n"/>
      <c r="T50" s="5" t="n"/>
      <c r="U50" s="1" t="n"/>
      <c r="V50" s="1" t="n"/>
      <c r="W50" s="1" t="n"/>
      <c r="X50" s="1" t="n"/>
      <c r="Y50" s="1" t="n"/>
      <c r="Z50" s="1" t="n"/>
      <c r="AA50" s="1" t="n"/>
    </row>
    <row r="51" ht="13.5" customHeight="1" s="198">
      <c r="A51" s="1" t="n"/>
      <c r="B51" s="1" t="n"/>
      <c r="C51" s="1" t="n"/>
      <c r="D51" s="1" t="n"/>
      <c r="E51" s="1" t="n"/>
      <c r="F51" s="1" t="n"/>
      <c r="G51" s="1" t="n"/>
      <c r="H51" s="1" t="n"/>
      <c r="I51" s="2" t="n"/>
      <c r="J51" s="3" t="n"/>
      <c r="K51" s="1" t="n"/>
      <c r="L51" s="1" t="n"/>
      <c r="M51" s="4" t="n"/>
      <c r="N51" s="1" t="n"/>
      <c r="O51" s="1" t="n"/>
      <c r="P51" s="1" t="n"/>
      <c r="Q51" s="1" t="n"/>
      <c r="R51" s="1" t="n"/>
      <c r="S51" s="1" t="n"/>
      <c r="T51" s="5" t="n"/>
      <c r="U51" s="1" t="n"/>
      <c r="V51" s="1" t="n"/>
      <c r="W51" s="1" t="n"/>
      <c r="X51" s="1" t="n"/>
      <c r="Y51" s="1" t="n"/>
      <c r="Z51" s="1" t="n"/>
      <c r="AA51" s="1" t="n"/>
    </row>
    <row r="52" ht="13.5" customHeight="1" s="198">
      <c r="A52" s="1" t="n"/>
      <c r="B52" s="1" t="n"/>
      <c r="C52" s="1" t="n"/>
      <c r="D52" s="1" t="n"/>
      <c r="E52" s="1" t="n"/>
      <c r="F52" s="1" t="n"/>
      <c r="G52" s="1" t="n"/>
      <c r="H52" s="1" t="n"/>
      <c r="I52" s="2" t="n"/>
      <c r="J52" s="3" t="n"/>
      <c r="K52" s="1" t="n"/>
      <c r="L52" s="1" t="n"/>
      <c r="M52" s="4" t="n"/>
      <c r="N52" s="1" t="n"/>
      <c r="O52" s="1" t="n"/>
      <c r="P52" s="1" t="n"/>
      <c r="Q52" s="1" t="n"/>
      <c r="R52" s="1" t="n"/>
      <c r="S52" s="1" t="n"/>
      <c r="T52" s="5" t="n"/>
      <c r="U52" s="1" t="n"/>
      <c r="V52" s="1" t="n"/>
      <c r="W52" s="1" t="n"/>
      <c r="X52" s="1" t="n"/>
      <c r="Y52" s="1" t="n"/>
      <c r="Z52" s="1" t="n"/>
      <c r="AA52" s="1" t="n"/>
    </row>
    <row r="53" ht="13.5" customHeight="1" s="198">
      <c r="A53" s="1" t="n"/>
      <c r="B53" s="1" t="n"/>
      <c r="C53" s="1" t="n"/>
      <c r="D53" s="1" t="n"/>
      <c r="E53" s="1" t="n"/>
      <c r="F53" s="1" t="n"/>
      <c r="G53" s="1" t="n"/>
      <c r="H53" s="1" t="n"/>
      <c r="I53" s="2" t="n"/>
      <c r="J53" s="3" t="n"/>
      <c r="K53" s="1" t="n"/>
      <c r="L53" s="1" t="n"/>
      <c r="M53" s="4" t="n"/>
      <c r="N53" s="1" t="n"/>
      <c r="O53" s="1" t="n"/>
      <c r="P53" s="1" t="n"/>
      <c r="Q53" s="1" t="n"/>
      <c r="R53" s="1" t="n"/>
      <c r="S53" s="1" t="n"/>
      <c r="T53" s="5" t="n"/>
      <c r="U53" s="1" t="n"/>
      <c r="V53" s="1" t="n"/>
      <c r="W53" s="1" t="n"/>
      <c r="X53" s="1" t="n"/>
      <c r="Y53" s="1" t="n"/>
      <c r="Z53" s="1" t="n"/>
      <c r="AA53" s="1" t="n"/>
    </row>
    <row r="54" ht="13.5" customHeight="1" s="198">
      <c r="A54" s="1" t="n"/>
      <c r="B54" s="1" t="n"/>
      <c r="C54" s="1" t="n"/>
      <c r="D54" s="1" t="n"/>
      <c r="E54" s="1" t="n"/>
      <c r="F54" s="1" t="n"/>
      <c r="G54" s="1" t="n"/>
      <c r="H54" s="1" t="n"/>
      <c r="I54" s="2" t="n"/>
      <c r="J54" s="3" t="n"/>
      <c r="K54" s="1" t="n"/>
      <c r="L54" s="1" t="n"/>
      <c r="M54" s="4" t="n"/>
      <c r="N54" s="1" t="n"/>
      <c r="O54" s="1" t="n"/>
      <c r="P54" s="1" t="n"/>
      <c r="Q54" s="1" t="n"/>
      <c r="R54" s="1" t="n"/>
      <c r="S54" s="1" t="n"/>
      <c r="T54" s="5" t="n"/>
      <c r="U54" s="1" t="n"/>
      <c r="V54" s="1" t="n"/>
      <c r="W54" s="1" t="n"/>
      <c r="X54" s="1" t="n"/>
      <c r="Y54" s="1" t="n"/>
      <c r="Z54" s="1" t="n"/>
      <c r="AA54" s="1" t="n"/>
    </row>
    <row r="55" ht="13.5" customHeight="1" s="198">
      <c r="A55" s="1" t="n"/>
      <c r="B55" s="1" t="n"/>
      <c r="C55" s="1" t="n"/>
      <c r="D55" s="1" t="n"/>
      <c r="E55" s="1" t="n"/>
      <c r="F55" s="1" t="n"/>
      <c r="G55" s="1" t="n"/>
      <c r="H55" s="1" t="n"/>
      <c r="I55" s="2" t="n"/>
      <c r="J55" s="3" t="n"/>
      <c r="K55" s="1" t="n"/>
      <c r="L55" s="1" t="n"/>
      <c r="M55" s="4" t="n"/>
      <c r="N55" s="1" t="n"/>
      <c r="O55" s="1" t="n"/>
      <c r="P55" s="1" t="n"/>
      <c r="Q55" s="1" t="n"/>
      <c r="R55" s="1" t="n"/>
      <c r="S55" s="1" t="n"/>
      <c r="T55" s="5" t="n"/>
      <c r="U55" s="1" t="n"/>
      <c r="V55" s="1" t="n"/>
      <c r="W55" s="1" t="n"/>
      <c r="X55" s="1" t="n"/>
      <c r="Y55" s="1" t="n"/>
      <c r="Z55" s="1" t="n"/>
      <c r="AA55" s="1" t="n"/>
    </row>
    <row r="56" ht="13.5" customHeight="1" s="198">
      <c r="A56" s="1" t="n"/>
      <c r="B56" s="1" t="n"/>
      <c r="C56" s="1" t="n"/>
      <c r="D56" s="1" t="n"/>
      <c r="E56" s="1" t="n"/>
      <c r="F56" s="1" t="n"/>
      <c r="G56" s="1" t="n"/>
      <c r="H56" s="1" t="n"/>
      <c r="I56" s="2" t="n"/>
      <c r="J56" s="3" t="n"/>
      <c r="K56" s="1" t="n"/>
      <c r="L56" s="1" t="n"/>
      <c r="M56" s="4" t="n"/>
      <c r="N56" s="1" t="n"/>
      <c r="O56" s="1" t="n"/>
      <c r="P56" s="1" t="n"/>
      <c r="Q56" s="1" t="n"/>
      <c r="R56" s="1" t="n"/>
      <c r="S56" s="1" t="n"/>
      <c r="T56" s="5" t="n"/>
      <c r="U56" s="1" t="n"/>
      <c r="V56" s="1" t="n"/>
      <c r="W56" s="1" t="n"/>
      <c r="X56" s="1" t="n"/>
      <c r="Y56" s="1" t="n"/>
      <c r="Z56" s="1" t="n"/>
      <c r="AA56" s="1" t="n"/>
    </row>
    <row r="57" ht="13.5" customHeight="1" s="198">
      <c r="A57" s="1" t="n"/>
      <c r="B57" s="1" t="n"/>
      <c r="C57" s="1" t="n"/>
      <c r="D57" s="1" t="n"/>
      <c r="E57" s="1" t="n"/>
      <c r="F57" s="1" t="n"/>
      <c r="G57" s="1" t="n"/>
      <c r="H57" s="1" t="n"/>
      <c r="I57" s="2" t="n"/>
      <c r="J57" s="3" t="n"/>
      <c r="K57" s="1" t="n"/>
      <c r="L57" s="1" t="n"/>
      <c r="M57" s="4" t="n"/>
      <c r="N57" s="1" t="n"/>
      <c r="O57" s="1" t="n"/>
      <c r="P57" s="1" t="n"/>
      <c r="Q57" s="1" t="n"/>
      <c r="R57" s="1" t="n"/>
      <c r="S57" s="1" t="n"/>
      <c r="T57" s="5" t="n"/>
      <c r="U57" s="1" t="n"/>
      <c r="V57" s="1" t="n"/>
      <c r="W57" s="1" t="n"/>
      <c r="X57" s="1" t="n"/>
      <c r="Y57" s="1" t="n"/>
      <c r="Z57" s="1" t="n"/>
      <c r="AA57" s="1" t="n"/>
    </row>
    <row r="58" ht="13.5" customHeight="1" s="198">
      <c r="A58" s="1" t="n"/>
      <c r="B58" s="1" t="n"/>
      <c r="C58" s="1" t="n"/>
      <c r="D58" s="1" t="n"/>
      <c r="E58" s="1" t="n"/>
      <c r="F58" s="1" t="n"/>
      <c r="G58" s="1" t="n"/>
      <c r="H58" s="1" t="n"/>
      <c r="I58" s="2" t="n"/>
      <c r="J58" s="3" t="n"/>
      <c r="K58" s="1" t="n"/>
      <c r="L58" s="1" t="n"/>
      <c r="M58" s="4" t="n"/>
      <c r="N58" s="1" t="n"/>
      <c r="O58" s="1" t="n"/>
      <c r="P58" s="1" t="n"/>
      <c r="Q58" s="1" t="n"/>
      <c r="R58" s="1" t="n"/>
      <c r="S58" s="1" t="n"/>
      <c r="T58" s="5" t="n"/>
      <c r="U58" s="1" t="n"/>
      <c r="V58" s="1" t="n"/>
      <c r="W58" s="1" t="n"/>
      <c r="X58" s="1" t="n"/>
      <c r="Y58" s="1" t="n"/>
      <c r="Z58" s="1" t="n"/>
      <c r="AA58" s="1" t="n"/>
    </row>
    <row r="59" ht="13.5" customHeight="1" s="198">
      <c r="A59" s="1" t="n"/>
      <c r="B59" s="1" t="n"/>
      <c r="C59" s="1" t="n"/>
      <c r="D59" s="1" t="n"/>
      <c r="E59" s="1" t="n"/>
      <c r="F59" s="1" t="n"/>
      <c r="G59" s="1" t="n"/>
      <c r="H59" s="1" t="n"/>
      <c r="I59" s="2" t="n"/>
      <c r="J59" s="3" t="n"/>
      <c r="K59" s="1" t="n"/>
      <c r="L59" s="1" t="n"/>
      <c r="M59" s="4" t="n"/>
      <c r="N59" s="1" t="n"/>
      <c r="O59" s="1" t="n"/>
      <c r="P59" s="1" t="n"/>
      <c r="Q59" s="1" t="n"/>
      <c r="R59" s="1" t="n"/>
      <c r="S59" s="1" t="n"/>
      <c r="T59" s="5" t="n"/>
      <c r="U59" s="1" t="n"/>
      <c r="V59" s="1" t="n"/>
      <c r="W59" s="1" t="n"/>
      <c r="X59" s="1" t="n"/>
      <c r="Y59" s="1" t="n"/>
      <c r="Z59" s="1" t="n"/>
      <c r="AA59" s="1" t="n"/>
    </row>
    <row r="60" ht="13.5" customHeight="1" s="198">
      <c r="A60" s="1" t="n"/>
      <c r="B60" s="1" t="n"/>
      <c r="C60" s="1" t="n"/>
      <c r="D60" s="1" t="n"/>
      <c r="E60" s="1" t="n"/>
      <c r="F60" s="1" t="n"/>
      <c r="G60" s="1" t="n"/>
      <c r="H60" s="1" t="n"/>
      <c r="I60" s="2" t="n"/>
      <c r="J60" s="3" t="n"/>
      <c r="K60" s="1" t="n"/>
      <c r="L60" s="1" t="n"/>
      <c r="M60" s="4" t="n"/>
      <c r="N60" s="1" t="n"/>
      <c r="O60" s="1" t="n"/>
      <c r="P60" s="1" t="n"/>
      <c r="Q60" s="1" t="n"/>
      <c r="R60" s="1" t="n"/>
      <c r="S60" s="1" t="n"/>
      <c r="T60" s="5" t="n"/>
      <c r="U60" s="1" t="n"/>
      <c r="V60" s="1" t="n"/>
      <c r="W60" s="1" t="n"/>
      <c r="X60" s="1" t="n"/>
      <c r="Y60" s="1" t="n"/>
      <c r="Z60" s="1" t="n"/>
      <c r="AA60" s="1" t="n"/>
    </row>
    <row r="61" ht="13.5" customHeight="1" s="198">
      <c r="A61" s="1" t="n"/>
      <c r="B61" s="1" t="n"/>
      <c r="C61" s="1" t="n"/>
      <c r="D61" s="1" t="n"/>
      <c r="E61" s="1" t="n"/>
      <c r="F61" s="1" t="n"/>
      <c r="G61" s="1" t="n"/>
      <c r="H61" s="1" t="n"/>
      <c r="I61" s="2" t="n"/>
      <c r="J61" s="3" t="n"/>
      <c r="K61" s="1" t="n"/>
      <c r="L61" s="1" t="n"/>
      <c r="M61" s="4" t="n"/>
      <c r="N61" s="1" t="n"/>
      <c r="O61" s="1" t="n"/>
      <c r="P61" s="1" t="n"/>
      <c r="Q61" s="1" t="n"/>
      <c r="R61" s="1" t="n"/>
      <c r="S61" s="1" t="n"/>
      <c r="T61" s="5" t="n"/>
      <c r="U61" s="1" t="n"/>
      <c r="V61" s="1" t="n"/>
      <c r="W61" s="1" t="n"/>
      <c r="X61" s="1" t="n"/>
      <c r="Y61" s="1" t="n"/>
      <c r="Z61" s="1" t="n"/>
      <c r="AA61" s="1" t="n"/>
    </row>
    <row r="62" ht="13.5" customHeight="1" s="198">
      <c r="A62" s="1" t="n"/>
      <c r="B62" s="1" t="n"/>
      <c r="C62" s="1" t="n"/>
      <c r="D62" s="1" t="n"/>
      <c r="E62" s="1" t="n"/>
      <c r="F62" s="1" t="n"/>
      <c r="G62" s="1" t="n"/>
      <c r="H62" s="1" t="n"/>
      <c r="I62" s="2" t="n"/>
      <c r="J62" s="3" t="n"/>
      <c r="K62" s="1" t="n"/>
      <c r="L62" s="1" t="n"/>
      <c r="M62" s="4" t="n"/>
      <c r="N62" s="1" t="n"/>
      <c r="O62" s="1" t="n"/>
      <c r="P62" s="1" t="n"/>
      <c r="Q62" s="1" t="n"/>
      <c r="R62" s="1" t="n"/>
      <c r="S62" s="1" t="n"/>
      <c r="T62" s="5" t="n"/>
      <c r="U62" s="1" t="n"/>
      <c r="V62" s="1" t="n"/>
      <c r="W62" s="1" t="n"/>
      <c r="X62" s="1" t="n"/>
      <c r="Y62" s="1" t="n"/>
      <c r="Z62" s="1" t="n"/>
      <c r="AA62" s="1" t="n"/>
    </row>
    <row r="63" ht="13.5" customHeight="1" s="198">
      <c r="A63" s="1" t="n"/>
      <c r="B63" s="1" t="n"/>
      <c r="C63" s="1" t="n"/>
      <c r="D63" s="1" t="n"/>
      <c r="E63" s="1" t="n"/>
      <c r="F63" s="1" t="n"/>
      <c r="G63" s="1" t="n"/>
      <c r="H63" s="1" t="n"/>
      <c r="I63" s="2" t="n"/>
      <c r="J63" s="3" t="n"/>
      <c r="K63" s="1" t="n"/>
      <c r="L63" s="1" t="n"/>
      <c r="M63" s="4" t="n"/>
      <c r="N63" s="1" t="n"/>
      <c r="O63" s="1" t="n"/>
      <c r="P63" s="1" t="n"/>
      <c r="Q63" s="1" t="n"/>
      <c r="R63" s="1" t="n"/>
      <c r="S63" s="1" t="n"/>
      <c r="T63" s="5" t="n"/>
      <c r="U63" s="1" t="n"/>
      <c r="V63" s="1" t="n"/>
      <c r="W63" s="1" t="n"/>
      <c r="X63" s="1" t="n"/>
      <c r="Y63" s="1" t="n"/>
      <c r="Z63" s="1" t="n"/>
      <c r="AA63" s="1" t="n"/>
    </row>
    <row r="64" ht="13.5" customHeight="1" s="198">
      <c r="A64" s="1" t="n"/>
      <c r="B64" s="1" t="n"/>
      <c r="C64" s="1" t="n"/>
      <c r="D64" s="1" t="n"/>
      <c r="E64" s="1" t="n"/>
      <c r="F64" s="1" t="n"/>
      <c r="G64" s="1" t="n"/>
      <c r="H64" s="1" t="n"/>
      <c r="I64" s="2" t="n"/>
      <c r="J64" s="3" t="n"/>
      <c r="K64" s="1" t="n"/>
      <c r="L64" s="1" t="n"/>
      <c r="M64" s="4" t="n"/>
      <c r="N64" s="1" t="n"/>
      <c r="O64" s="1" t="n"/>
      <c r="P64" s="1" t="n"/>
      <c r="Q64" s="1" t="n"/>
      <c r="R64" s="1" t="n"/>
      <c r="S64" s="1" t="n"/>
      <c r="T64" s="5" t="n"/>
      <c r="U64" s="1" t="n"/>
      <c r="V64" s="1" t="n"/>
      <c r="W64" s="1" t="n"/>
      <c r="X64" s="1" t="n"/>
      <c r="Y64" s="1" t="n"/>
      <c r="Z64" s="1" t="n"/>
      <c r="AA64" s="1" t="n"/>
    </row>
    <row r="65" ht="13.5" customHeight="1" s="198">
      <c r="A65" s="1" t="n"/>
      <c r="B65" s="1" t="n"/>
      <c r="C65" s="1" t="n"/>
      <c r="D65" s="1" t="n"/>
      <c r="E65" s="1" t="n"/>
      <c r="F65" s="1" t="n"/>
      <c r="G65" s="1" t="n"/>
      <c r="H65" s="1" t="n"/>
      <c r="I65" s="2" t="n"/>
      <c r="J65" s="3" t="n"/>
      <c r="K65" s="1" t="n"/>
      <c r="L65" s="1" t="n"/>
      <c r="M65" s="4" t="n"/>
      <c r="N65" s="1" t="n"/>
      <c r="O65" s="1" t="n"/>
      <c r="P65" s="1" t="n"/>
      <c r="Q65" s="1" t="n"/>
      <c r="R65" s="1" t="n"/>
      <c r="S65" s="1" t="n"/>
      <c r="T65" s="5" t="n"/>
      <c r="U65" s="1" t="n"/>
      <c r="V65" s="1" t="n"/>
      <c r="W65" s="1" t="n"/>
      <c r="X65" s="1" t="n"/>
      <c r="Y65" s="1" t="n"/>
      <c r="Z65" s="1" t="n"/>
      <c r="AA65" s="1" t="n"/>
    </row>
    <row r="66" ht="13.5" customHeight="1" s="198">
      <c r="A66" s="1" t="n"/>
      <c r="B66" s="1" t="n"/>
      <c r="C66" s="1" t="n"/>
      <c r="D66" s="1" t="n"/>
      <c r="E66" s="1" t="n"/>
      <c r="F66" s="1" t="n"/>
      <c r="G66" s="1" t="n"/>
      <c r="H66" s="1" t="n"/>
      <c r="I66" s="2" t="n"/>
      <c r="J66" s="3" t="n"/>
      <c r="K66" s="1" t="n"/>
      <c r="L66" s="1" t="n"/>
      <c r="M66" s="4" t="n"/>
      <c r="N66" s="1" t="n"/>
      <c r="O66" s="1" t="n"/>
      <c r="P66" s="1" t="n"/>
      <c r="Q66" s="1" t="n"/>
      <c r="R66" s="1" t="n"/>
      <c r="S66" s="1" t="n"/>
      <c r="T66" s="5" t="n"/>
      <c r="U66" s="1" t="n"/>
      <c r="V66" s="1" t="n"/>
      <c r="W66" s="1" t="n"/>
      <c r="X66" s="1" t="n"/>
      <c r="Y66" s="1" t="n"/>
      <c r="Z66" s="1" t="n"/>
      <c r="AA66" s="1" t="n"/>
    </row>
    <row r="67" ht="13.5" customHeight="1" s="198">
      <c r="A67" s="1" t="n"/>
      <c r="B67" s="1" t="n"/>
      <c r="C67" s="1" t="n"/>
      <c r="D67" s="1" t="n"/>
      <c r="E67" s="1" t="n"/>
      <c r="F67" s="1" t="n"/>
      <c r="G67" s="1" t="n"/>
      <c r="H67" s="1" t="n"/>
      <c r="I67" s="2" t="n"/>
      <c r="J67" s="3" t="n"/>
      <c r="K67" s="1" t="n"/>
      <c r="L67" s="1" t="n"/>
      <c r="M67" s="4" t="n"/>
      <c r="N67" s="1" t="n"/>
      <c r="O67" s="1" t="n"/>
      <c r="P67" s="1" t="n"/>
      <c r="Q67" s="1" t="n"/>
      <c r="R67" s="1" t="n"/>
      <c r="S67" s="1" t="n"/>
      <c r="T67" s="5" t="n"/>
      <c r="U67" s="1" t="n"/>
      <c r="V67" s="1" t="n"/>
      <c r="W67" s="1" t="n"/>
      <c r="X67" s="1" t="n"/>
      <c r="Y67" s="1" t="n"/>
      <c r="Z67" s="1" t="n"/>
      <c r="AA67" s="1" t="n"/>
    </row>
    <row r="68" ht="13.5" customHeight="1" s="198">
      <c r="A68" s="1" t="n"/>
      <c r="B68" s="1" t="n"/>
      <c r="C68" s="1" t="n"/>
      <c r="D68" s="1" t="n"/>
      <c r="E68" s="1" t="n"/>
      <c r="F68" s="1" t="n"/>
      <c r="G68" s="1" t="n"/>
      <c r="H68" s="1" t="n"/>
      <c r="I68" s="2" t="n"/>
      <c r="J68" s="3" t="n"/>
      <c r="K68" s="1" t="n"/>
      <c r="L68" s="1" t="n"/>
      <c r="M68" s="4" t="n"/>
      <c r="N68" s="1" t="n"/>
      <c r="O68" s="1" t="n"/>
      <c r="P68" s="1" t="n"/>
      <c r="Q68" s="1" t="n"/>
      <c r="R68" s="1" t="n"/>
      <c r="S68" s="1" t="n"/>
      <c r="T68" s="5" t="n"/>
      <c r="U68" s="1" t="n"/>
      <c r="V68" s="1" t="n"/>
      <c r="W68" s="1" t="n"/>
      <c r="X68" s="1" t="n"/>
      <c r="Y68" s="1" t="n"/>
      <c r="Z68" s="1" t="n"/>
      <c r="AA68" s="1" t="n"/>
    </row>
    <row r="69" ht="13.5" customHeight="1" s="198">
      <c r="A69" s="1" t="n"/>
      <c r="B69" s="1" t="n"/>
      <c r="C69" s="1" t="n"/>
      <c r="D69" s="1" t="n"/>
      <c r="E69" s="1" t="n"/>
      <c r="F69" s="1" t="n"/>
      <c r="G69" s="1" t="n"/>
      <c r="H69" s="1" t="n"/>
      <c r="I69" s="2" t="n"/>
      <c r="J69" s="3" t="n"/>
      <c r="K69" s="1" t="n"/>
      <c r="L69" s="1" t="n"/>
      <c r="M69" s="4" t="n"/>
      <c r="N69" s="1" t="n"/>
      <c r="O69" s="1" t="n"/>
      <c r="P69" s="1" t="n"/>
      <c r="Q69" s="1" t="n"/>
      <c r="R69" s="1" t="n"/>
      <c r="S69" s="1" t="n"/>
      <c r="T69" s="5" t="n"/>
      <c r="U69" s="1" t="n"/>
      <c r="V69" s="1" t="n"/>
      <c r="W69" s="1" t="n"/>
      <c r="X69" s="1" t="n"/>
      <c r="Y69" s="1" t="n"/>
      <c r="Z69" s="1" t="n"/>
      <c r="AA69" s="1" t="n"/>
    </row>
    <row r="70" ht="13.5" customHeight="1" s="198">
      <c r="A70" s="1" t="n"/>
      <c r="B70" s="1" t="n"/>
      <c r="C70" s="1" t="n"/>
      <c r="D70" s="1" t="n"/>
      <c r="E70" s="1" t="n"/>
      <c r="F70" s="1" t="n"/>
      <c r="G70" s="1" t="n"/>
      <c r="H70" s="1" t="n"/>
      <c r="I70" s="2" t="n"/>
      <c r="J70" s="3" t="n"/>
      <c r="K70" s="1" t="n"/>
      <c r="L70" s="1" t="n"/>
      <c r="M70" s="4" t="n"/>
      <c r="N70" s="1" t="n"/>
      <c r="O70" s="1" t="n"/>
      <c r="P70" s="1" t="n"/>
      <c r="Q70" s="1" t="n"/>
      <c r="R70" s="1" t="n"/>
      <c r="S70" s="1" t="n"/>
      <c r="T70" s="5" t="n"/>
      <c r="U70" s="1" t="n"/>
      <c r="V70" s="1" t="n"/>
      <c r="W70" s="1" t="n"/>
      <c r="X70" s="1" t="n"/>
      <c r="Y70" s="1" t="n"/>
      <c r="Z70" s="1" t="n"/>
      <c r="AA70" s="1" t="n"/>
    </row>
    <row r="71" ht="13.5" customHeight="1" s="198">
      <c r="A71" s="68" t="n"/>
      <c r="B71" s="68" t="n"/>
      <c r="C71" s="69" t="n"/>
      <c r="D71" s="68" t="n"/>
      <c r="E71" s="69" t="n"/>
      <c r="F71" s="69" t="n"/>
      <c r="G71" s="70" t="n"/>
      <c r="H71" s="69" t="n"/>
      <c r="I71" s="71" t="n"/>
      <c r="J71" s="72" t="n"/>
      <c r="K71" s="69" t="n"/>
      <c r="L71" s="69" t="n"/>
      <c r="M71" s="73" t="n"/>
      <c r="N71" s="69" t="n"/>
      <c r="O71" s="69" t="n"/>
      <c r="P71" s="69" t="n"/>
      <c r="Q71" s="69" t="n"/>
      <c r="R71" s="69" t="n"/>
      <c r="S71" s="69" t="n"/>
      <c r="T71" s="74" t="n"/>
      <c r="U71" s="75" t="n"/>
      <c r="V71" s="75" t="n"/>
      <c r="W71" s="76" t="n"/>
    </row>
    <row r="72" ht="13.5" customHeight="1" s="198">
      <c r="A72" s="68" t="n"/>
      <c r="B72" s="68" t="n"/>
      <c r="C72" s="69" t="n"/>
      <c r="D72" s="68" t="n"/>
      <c r="E72" s="69" t="n"/>
      <c r="F72" s="69" t="n"/>
      <c r="G72" s="70" t="n"/>
      <c r="H72" s="69" t="n"/>
      <c r="I72" s="71" t="n"/>
      <c r="J72" s="72" t="n"/>
      <c r="K72" s="69" t="n"/>
      <c r="L72" s="69" t="n"/>
      <c r="M72" s="73" t="n"/>
      <c r="N72" s="69" t="n"/>
      <c r="O72" s="69" t="n"/>
      <c r="P72" s="69" t="n"/>
      <c r="Q72" s="69" t="n"/>
      <c r="R72" s="69" t="n"/>
      <c r="S72" s="69" t="n"/>
      <c r="T72" s="74" t="n"/>
      <c r="U72" s="75" t="n"/>
      <c r="V72" s="75" t="n"/>
      <c r="W72" s="76" t="n"/>
    </row>
    <row r="73" ht="13.5" customHeight="1" s="198">
      <c r="A73" s="68" t="n"/>
      <c r="B73" s="68" t="n"/>
      <c r="C73" s="69" t="n"/>
      <c r="D73" s="68" t="n"/>
      <c r="E73" s="69" t="n"/>
      <c r="F73" s="69" t="n"/>
      <c r="G73" s="70" t="n"/>
      <c r="H73" s="69" t="n"/>
      <c r="I73" s="71" t="n"/>
      <c r="J73" s="72" t="n"/>
      <c r="K73" s="69" t="n"/>
      <c r="L73" s="69" t="n"/>
      <c r="M73" s="73" t="n"/>
      <c r="N73" s="69" t="n"/>
      <c r="O73" s="69" t="n"/>
      <c r="P73" s="69" t="n"/>
      <c r="Q73" s="69" t="n"/>
      <c r="R73" s="69" t="n"/>
      <c r="S73" s="69" t="n"/>
      <c r="T73" s="74" t="n"/>
      <c r="U73" s="75" t="n"/>
      <c r="V73" s="75" t="n"/>
      <c r="W73" s="76" t="n"/>
    </row>
    <row r="74" ht="13.5" customHeight="1" s="198">
      <c r="A74" s="68" t="n"/>
      <c r="B74" s="68" t="n"/>
      <c r="C74" s="69" t="n"/>
      <c r="D74" s="68" t="n"/>
      <c r="E74" s="69" t="n"/>
      <c r="F74" s="69" t="n"/>
      <c r="G74" s="70" t="n"/>
      <c r="H74" s="69" t="n"/>
      <c r="I74" s="71" t="n"/>
      <c r="J74" s="72" t="n"/>
      <c r="K74" s="69" t="n"/>
      <c r="L74" s="69" t="n"/>
      <c r="M74" s="73" t="n"/>
      <c r="N74" s="69" t="n"/>
      <c r="O74" s="69" t="n"/>
      <c r="P74" s="69" t="n"/>
      <c r="Q74" s="69" t="n"/>
      <c r="R74" s="69" t="n"/>
      <c r="S74" s="69" t="n"/>
      <c r="T74" s="74" t="n"/>
      <c r="U74" s="75" t="n"/>
      <c r="V74" s="75" t="n"/>
      <c r="W74" s="76" t="n"/>
    </row>
    <row r="75" ht="13.5" customHeight="1" s="198">
      <c r="A75" s="68" t="n"/>
      <c r="B75" s="68" t="n"/>
      <c r="C75" s="69" t="n"/>
      <c r="D75" s="68" t="n"/>
      <c r="E75" s="69" t="n"/>
      <c r="F75" s="69" t="n"/>
      <c r="G75" s="70" t="n"/>
      <c r="H75" s="69" t="n"/>
      <c r="I75" s="71" t="n"/>
      <c r="J75" s="72" t="n"/>
      <c r="K75" s="69" t="n"/>
      <c r="L75" s="69" t="n"/>
      <c r="M75" s="73" t="n"/>
      <c r="N75" s="69" t="n"/>
      <c r="O75" s="69" t="n"/>
      <c r="P75" s="69" t="n"/>
      <c r="Q75" s="69" t="n"/>
      <c r="R75" s="69" t="n"/>
      <c r="S75" s="69" t="n"/>
      <c r="T75" s="74" t="n"/>
      <c r="U75" s="75" t="n"/>
      <c r="V75" s="75" t="n"/>
      <c r="W75" s="76" t="n"/>
    </row>
    <row r="76" ht="13.5" customHeight="1" s="198">
      <c r="A76" s="68" t="n"/>
      <c r="B76" s="68" t="n"/>
      <c r="C76" s="69" t="n"/>
      <c r="D76" s="68" t="n"/>
      <c r="E76" s="69" t="n"/>
      <c r="F76" s="69" t="n"/>
      <c r="G76" s="70" t="n"/>
      <c r="H76" s="69" t="n"/>
      <c r="I76" s="71" t="n"/>
      <c r="J76" s="72" t="n"/>
      <c r="K76" s="69" t="n"/>
      <c r="L76" s="69" t="n"/>
      <c r="M76" s="73" t="n"/>
      <c r="N76" s="69" t="n"/>
      <c r="O76" s="69" t="n"/>
      <c r="P76" s="69" t="n"/>
      <c r="Q76" s="69" t="n"/>
      <c r="R76" s="69" t="n"/>
      <c r="S76" s="69" t="n"/>
      <c r="T76" s="74" t="n"/>
      <c r="U76" s="75" t="n"/>
      <c r="V76" s="75" t="n"/>
      <c r="W76" s="76" t="n"/>
    </row>
    <row r="77" ht="13.5" customHeight="1" s="198">
      <c r="A77" s="68" t="n"/>
      <c r="B77" s="68" t="n"/>
      <c r="C77" s="69" t="n"/>
      <c r="D77" s="68" t="n"/>
      <c r="E77" s="69" t="n"/>
      <c r="F77" s="69" t="n"/>
      <c r="G77" s="70" t="n"/>
      <c r="H77" s="69" t="n"/>
      <c r="I77" s="71" t="n"/>
      <c r="J77" s="72" t="n"/>
      <c r="K77" s="69" t="n"/>
      <c r="L77" s="69" t="n"/>
      <c r="M77" s="73" t="n"/>
      <c r="N77" s="69" t="n"/>
      <c r="O77" s="69" t="n"/>
      <c r="P77" s="69" t="n"/>
      <c r="Q77" s="69" t="n"/>
      <c r="R77" s="69" t="n"/>
      <c r="S77" s="69" t="n"/>
      <c r="T77" s="74" t="n"/>
      <c r="U77" s="75" t="n"/>
      <c r="V77" s="75" t="n"/>
      <c r="W77" s="76" t="n"/>
    </row>
    <row r="78" ht="13.5" customHeight="1" s="198">
      <c r="A78" s="68" t="n"/>
      <c r="B78" s="68" t="n"/>
      <c r="C78" s="69" t="n"/>
      <c r="D78" s="68" t="n"/>
      <c r="E78" s="69" t="n"/>
      <c r="F78" s="69" t="n"/>
      <c r="G78" s="70" t="n"/>
      <c r="H78" s="69" t="n"/>
      <c r="I78" s="71" t="n"/>
      <c r="J78" s="72" t="n"/>
      <c r="K78" s="69" t="n"/>
      <c r="L78" s="69" t="n"/>
      <c r="M78" s="73" t="n"/>
      <c r="N78" s="69" t="n"/>
      <c r="O78" s="69" t="n"/>
      <c r="P78" s="69" t="n"/>
      <c r="Q78" s="69" t="n"/>
      <c r="R78" s="69" t="n"/>
      <c r="S78" s="69" t="n"/>
      <c r="T78" s="74" t="n"/>
      <c r="U78" s="75" t="n"/>
      <c r="V78" s="75" t="n"/>
      <c r="W78" s="76" t="n"/>
    </row>
    <row r="79" ht="13.5" customHeight="1" s="198">
      <c r="A79" s="68" t="n"/>
      <c r="B79" s="68" t="n"/>
      <c r="C79" s="69" t="n"/>
      <c r="D79" s="68" t="n"/>
      <c r="E79" s="69" t="n"/>
      <c r="F79" s="69" t="n"/>
      <c r="G79" s="70" t="n"/>
      <c r="H79" s="69" t="n"/>
      <c r="I79" s="71" t="n"/>
      <c r="J79" s="72" t="n"/>
      <c r="K79" s="69" t="n"/>
      <c r="L79" s="69" t="n"/>
      <c r="M79" s="73" t="n"/>
      <c r="N79" s="69" t="n"/>
      <c r="O79" s="69" t="n"/>
      <c r="P79" s="69" t="n"/>
      <c r="Q79" s="69" t="n"/>
      <c r="R79" s="69" t="n"/>
      <c r="S79" s="69" t="n"/>
      <c r="T79" s="74" t="n"/>
      <c r="U79" s="75" t="n"/>
      <c r="V79" s="75" t="n"/>
      <c r="W79" s="76" t="n"/>
    </row>
    <row r="80" ht="13.5" customHeight="1" s="198">
      <c r="A80" s="68" t="n"/>
      <c r="B80" s="68" t="n"/>
      <c r="C80" s="69" t="n"/>
      <c r="D80" s="68" t="n"/>
      <c r="E80" s="69" t="n"/>
      <c r="F80" s="69" t="n"/>
      <c r="G80" s="70" t="n"/>
      <c r="H80" s="69" t="n"/>
      <c r="I80" s="71" t="n"/>
      <c r="J80" s="72" t="n"/>
      <c r="K80" s="69" t="n"/>
      <c r="L80" s="69" t="n"/>
      <c r="M80" s="73" t="n"/>
      <c r="N80" s="69" t="n"/>
      <c r="O80" s="69" t="n"/>
      <c r="P80" s="69" t="n"/>
      <c r="Q80" s="69" t="n"/>
      <c r="R80" s="69" t="n"/>
      <c r="S80" s="69" t="n"/>
      <c r="T80" s="74" t="n"/>
      <c r="U80" s="75" t="n"/>
      <c r="V80" s="75" t="n"/>
      <c r="W80" s="76" t="n"/>
    </row>
    <row r="81" ht="13.5" customHeight="1" s="198">
      <c r="A81" s="68" t="n"/>
      <c r="B81" s="68" t="n"/>
      <c r="C81" s="69" t="n"/>
      <c r="D81" s="68" t="n"/>
      <c r="E81" s="69" t="n"/>
      <c r="F81" s="69" t="n"/>
      <c r="G81" s="70" t="n"/>
      <c r="H81" s="69" t="n"/>
      <c r="I81" s="71" t="n"/>
      <c r="J81" s="72" t="n"/>
      <c r="K81" s="69" t="n"/>
      <c r="L81" s="69" t="n"/>
      <c r="M81" s="73" t="n"/>
      <c r="N81" s="69" t="n"/>
      <c r="O81" s="69" t="n"/>
      <c r="P81" s="69" t="n"/>
      <c r="Q81" s="69" t="n"/>
      <c r="R81" s="69" t="n"/>
      <c r="S81" s="69" t="n"/>
      <c r="T81" s="74" t="n"/>
      <c r="U81" s="75" t="n"/>
      <c r="V81" s="75" t="n"/>
      <c r="W81" s="76" t="n"/>
    </row>
    <row r="82" ht="13.5" customHeight="1" s="198">
      <c r="A82" s="68" t="n"/>
      <c r="B82" s="68" t="n"/>
      <c r="C82" s="69" t="n"/>
      <c r="D82" s="68" t="n"/>
      <c r="E82" s="69" t="n"/>
      <c r="F82" s="69" t="n"/>
      <c r="G82" s="70" t="n"/>
      <c r="H82" s="69" t="n"/>
      <c r="I82" s="71" t="n"/>
      <c r="J82" s="72" t="n"/>
      <c r="K82" s="69" t="n"/>
      <c r="L82" s="69" t="n"/>
      <c r="M82" s="73" t="n"/>
      <c r="N82" s="69" t="n"/>
      <c r="O82" s="69" t="n"/>
      <c r="P82" s="69" t="n"/>
      <c r="Q82" s="69" t="n"/>
      <c r="R82" s="69" t="n"/>
      <c r="S82" s="69" t="n"/>
      <c r="T82" s="74" t="n"/>
      <c r="U82" s="75" t="n"/>
      <c r="V82" s="75" t="n"/>
      <c r="W82" s="76" t="n"/>
    </row>
    <row r="83" ht="13.5" customHeight="1" s="198">
      <c r="A83" s="68" t="n"/>
      <c r="B83" s="68" t="n"/>
      <c r="C83" s="69" t="n"/>
      <c r="D83" s="68" t="n"/>
      <c r="E83" s="69" t="n"/>
      <c r="F83" s="69" t="n"/>
      <c r="G83" s="70" t="n"/>
      <c r="H83" s="69" t="n"/>
      <c r="I83" s="71" t="n"/>
      <c r="J83" s="72" t="n"/>
      <c r="K83" s="69" t="n"/>
      <c r="L83" s="69" t="n"/>
      <c r="M83" s="73" t="n"/>
      <c r="N83" s="69" t="n"/>
      <c r="O83" s="69" t="n"/>
      <c r="P83" s="69" t="n"/>
      <c r="Q83" s="69" t="n"/>
      <c r="R83" s="69" t="n"/>
      <c r="S83" s="69" t="n"/>
      <c r="T83" s="74" t="n"/>
      <c r="U83" s="75" t="n"/>
      <c r="V83" s="75" t="n"/>
      <c r="W83" s="76" t="n"/>
    </row>
    <row r="84" ht="13.5" customHeight="1" s="198">
      <c r="A84" s="68" t="n"/>
      <c r="B84" s="68" t="n"/>
      <c r="C84" s="69" t="n"/>
      <c r="D84" s="68" t="n"/>
      <c r="E84" s="69" t="n"/>
      <c r="F84" s="69" t="n"/>
      <c r="G84" s="70" t="n"/>
      <c r="H84" s="69" t="n"/>
      <c r="I84" s="71" t="n"/>
      <c r="J84" s="72" t="n"/>
      <c r="K84" s="69" t="n"/>
      <c r="L84" s="69" t="n"/>
      <c r="M84" s="73" t="n"/>
      <c r="N84" s="69" t="n"/>
      <c r="O84" s="69" t="n"/>
      <c r="P84" s="69" t="n"/>
      <c r="Q84" s="69" t="n"/>
      <c r="R84" s="69" t="n"/>
      <c r="S84" s="69" t="n"/>
      <c r="T84" s="74" t="n"/>
      <c r="U84" s="75" t="n"/>
      <c r="V84" s="75" t="n"/>
      <c r="W84" s="76" t="n"/>
    </row>
    <row r="85" ht="13.5" customHeight="1" s="198">
      <c r="A85" s="68" t="n"/>
      <c r="B85" s="68" t="n"/>
      <c r="C85" s="69" t="n"/>
      <c r="D85" s="68" t="n"/>
      <c r="E85" s="69" t="n"/>
      <c r="F85" s="69" t="n"/>
      <c r="G85" s="70" t="n"/>
      <c r="H85" s="69" t="n"/>
      <c r="I85" s="71" t="n"/>
      <c r="J85" s="72" t="n"/>
      <c r="K85" s="69" t="n"/>
      <c r="L85" s="69" t="n"/>
      <c r="M85" s="73" t="n"/>
      <c r="N85" s="69" t="n"/>
      <c r="O85" s="69" t="n"/>
      <c r="P85" s="69" t="n"/>
      <c r="Q85" s="69" t="n"/>
      <c r="R85" s="69" t="n"/>
      <c r="S85" s="69" t="n"/>
      <c r="T85" s="74" t="n"/>
      <c r="U85" s="75" t="n"/>
      <c r="V85" s="75" t="n"/>
      <c r="W85" s="76" t="n"/>
    </row>
    <row r="86" ht="13.5" customHeight="1" s="198">
      <c r="A86" s="68" t="n"/>
      <c r="B86" s="68" t="n"/>
      <c r="C86" s="69" t="n"/>
      <c r="D86" s="68" t="n"/>
      <c r="E86" s="69" t="n"/>
      <c r="F86" s="69" t="n"/>
      <c r="G86" s="70" t="n"/>
      <c r="H86" s="69" t="n"/>
      <c r="I86" s="71" t="n"/>
      <c r="J86" s="72" t="n"/>
      <c r="K86" s="69" t="n"/>
      <c r="L86" s="69" t="n"/>
      <c r="M86" s="73" t="n"/>
      <c r="N86" s="69" t="n"/>
      <c r="O86" s="69" t="n"/>
      <c r="P86" s="69" t="n"/>
      <c r="Q86" s="69" t="n"/>
      <c r="R86" s="69" t="n"/>
      <c r="S86" s="69" t="n"/>
      <c r="T86" s="74" t="n"/>
      <c r="U86" s="75" t="n"/>
      <c r="V86" s="75" t="n"/>
      <c r="W86" s="76" t="n"/>
    </row>
    <row r="87" ht="13.5" customHeight="1" s="198">
      <c r="A87" s="68" t="n"/>
      <c r="B87" s="68" t="n"/>
      <c r="C87" s="69" t="n"/>
      <c r="D87" s="68" t="n"/>
      <c r="E87" s="69" t="n"/>
      <c r="F87" s="69" t="n"/>
      <c r="G87" s="70" t="n"/>
      <c r="H87" s="69" t="n"/>
      <c r="I87" s="71" t="n"/>
      <c r="J87" s="72" t="n"/>
      <c r="K87" s="69" t="n"/>
      <c r="L87" s="69" t="n"/>
      <c r="M87" s="73" t="n"/>
      <c r="N87" s="69" t="n"/>
      <c r="O87" s="69" t="n"/>
      <c r="P87" s="69" t="n"/>
      <c r="Q87" s="69" t="n"/>
      <c r="R87" s="69" t="n"/>
      <c r="S87" s="69" t="n"/>
      <c r="T87" s="74" t="n"/>
      <c r="U87" s="75" t="n"/>
      <c r="V87" s="75" t="n"/>
      <c r="W87" s="76" t="n"/>
    </row>
    <row r="88" ht="13.5" customHeight="1" s="198">
      <c r="A88" s="68" t="n"/>
      <c r="B88" s="68" t="n"/>
      <c r="C88" s="69" t="n"/>
      <c r="D88" s="68" t="n"/>
      <c r="E88" s="69" t="n"/>
      <c r="F88" s="69" t="n"/>
      <c r="G88" s="70" t="n"/>
      <c r="H88" s="69" t="n"/>
      <c r="I88" s="71" t="n"/>
      <c r="J88" s="72" t="n"/>
      <c r="K88" s="69" t="n"/>
      <c r="L88" s="69" t="n"/>
      <c r="M88" s="73" t="n"/>
      <c r="N88" s="69" t="n"/>
      <c r="O88" s="69" t="n"/>
      <c r="P88" s="69" t="n"/>
      <c r="Q88" s="69" t="n"/>
      <c r="R88" s="69" t="n"/>
      <c r="S88" s="69" t="n"/>
      <c r="T88" s="74" t="n"/>
      <c r="U88" s="75" t="n"/>
      <c r="V88" s="75" t="n"/>
      <c r="W88" s="76" t="n"/>
    </row>
    <row r="89" ht="13.5" customHeight="1" s="198">
      <c r="A89" s="68" t="n"/>
      <c r="B89" s="68" t="n"/>
      <c r="C89" s="69" t="n"/>
      <c r="D89" s="68" t="n"/>
      <c r="E89" s="69" t="n"/>
      <c r="F89" s="69" t="n"/>
      <c r="G89" s="70" t="n"/>
      <c r="H89" s="69" t="n"/>
      <c r="I89" s="71" t="n"/>
      <c r="J89" s="72" t="n"/>
      <c r="K89" s="69" t="n"/>
      <c r="L89" s="69" t="n"/>
      <c r="M89" s="73" t="n"/>
      <c r="N89" s="69" t="n"/>
      <c r="O89" s="69" t="n"/>
      <c r="P89" s="69" t="n"/>
      <c r="Q89" s="69" t="n"/>
      <c r="R89" s="69" t="n"/>
      <c r="S89" s="69" t="n"/>
      <c r="T89" s="74" t="n"/>
      <c r="U89" s="75" t="n"/>
      <c r="V89" s="75" t="n"/>
      <c r="W89" s="76" t="n"/>
    </row>
    <row r="90" ht="13.5" customHeight="1" s="198">
      <c r="A90" s="68" t="n"/>
      <c r="B90" s="68" t="n"/>
      <c r="C90" s="69" t="n"/>
      <c r="D90" s="68" t="n"/>
      <c r="E90" s="69" t="n"/>
      <c r="F90" s="69" t="n"/>
      <c r="G90" s="70" t="n"/>
      <c r="H90" s="69" t="n"/>
      <c r="I90" s="71" t="n"/>
      <c r="J90" s="72" t="n"/>
      <c r="K90" s="69" t="n"/>
      <c r="L90" s="69" t="n"/>
      <c r="M90" s="73" t="n"/>
      <c r="N90" s="69" t="n"/>
      <c r="O90" s="69" t="n"/>
      <c r="P90" s="69" t="n"/>
      <c r="Q90" s="69" t="n"/>
      <c r="R90" s="69" t="n"/>
      <c r="S90" s="69" t="n"/>
      <c r="T90" s="74" t="n"/>
      <c r="U90" s="75" t="n"/>
      <c r="V90" s="75" t="n"/>
      <c r="W90" s="76" t="n"/>
    </row>
    <row r="91" ht="13.5" customHeight="1" s="198">
      <c r="A91" s="68" t="n"/>
      <c r="B91" s="68" t="n"/>
      <c r="C91" s="69" t="n"/>
      <c r="D91" s="68" t="n"/>
      <c r="E91" s="69" t="n"/>
      <c r="F91" s="69" t="n"/>
      <c r="G91" s="70" t="n"/>
      <c r="H91" s="69" t="n"/>
      <c r="I91" s="71" t="n"/>
      <c r="J91" s="72" t="n"/>
      <c r="K91" s="69" t="n"/>
      <c r="L91" s="69" t="n"/>
      <c r="M91" s="73" t="n"/>
      <c r="N91" s="69" t="n"/>
      <c r="O91" s="69" t="n"/>
      <c r="P91" s="69" t="n"/>
      <c r="Q91" s="69" t="n"/>
      <c r="R91" s="69" t="n"/>
      <c r="S91" s="69" t="n"/>
      <c r="T91" s="74" t="n"/>
      <c r="U91" s="75" t="n"/>
      <c r="V91" s="75" t="n"/>
      <c r="W91" s="76" t="n"/>
    </row>
    <row r="92" ht="13.5" customHeight="1" s="198">
      <c r="A92" s="68" t="n"/>
      <c r="B92" s="68" t="n"/>
      <c r="C92" s="69" t="n"/>
      <c r="D92" s="68" t="n"/>
      <c r="E92" s="69" t="n"/>
      <c r="F92" s="69" t="n"/>
      <c r="G92" s="70" t="n"/>
      <c r="H92" s="69" t="n"/>
      <c r="I92" s="71" t="n"/>
      <c r="J92" s="72" t="n"/>
      <c r="K92" s="69" t="n"/>
      <c r="L92" s="69" t="n"/>
      <c r="M92" s="73" t="n"/>
      <c r="N92" s="69" t="n"/>
      <c r="O92" s="69" t="n"/>
      <c r="P92" s="69" t="n"/>
      <c r="Q92" s="69" t="n"/>
      <c r="R92" s="69" t="n"/>
      <c r="S92" s="69" t="n"/>
      <c r="T92" s="74" t="n"/>
      <c r="U92" s="75" t="n"/>
      <c r="V92" s="75" t="n"/>
      <c r="W92" s="76" t="n"/>
    </row>
    <row r="93" ht="13.5" customHeight="1" s="198">
      <c r="A93" s="68" t="n"/>
      <c r="B93" s="68" t="n"/>
      <c r="C93" s="69" t="n"/>
      <c r="D93" s="68" t="n"/>
      <c r="E93" s="69" t="n"/>
      <c r="F93" s="69" t="n"/>
      <c r="G93" s="70" t="n"/>
      <c r="H93" s="69" t="n"/>
      <c r="I93" s="71" t="n"/>
      <c r="J93" s="72" t="n"/>
      <c r="K93" s="69" t="n"/>
      <c r="L93" s="69" t="n"/>
      <c r="M93" s="73" t="n"/>
      <c r="N93" s="69" t="n"/>
      <c r="O93" s="69" t="n"/>
      <c r="P93" s="69" t="n"/>
      <c r="Q93" s="69" t="n"/>
      <c r="R93" s="69" t="n"/>
      <c r="S93" s="69" t="n"/>
      <c r="T93" s="74" t="n"/>
      <c r="U93" s="75" t="n"/>
      <c r="V93" s="75" t="n"/>
      <c r="W93" s="76" t="n"/>
    </row>
    <row r="94" ht="13.5" customHeight="1" s="198">
      <c r="A94" s="68" t="n"/>
      <c r="B94" s="68" t="n"/>
      <c r="C94" s="69" t="n"/>
      <c r="D94" s="68" t="n"/>
      <c r="E94" s="69" t="n"/>
      <c r="F94" s="69" t="n"/>
      <c r="G94" s="70" t="n"/>
      <c r="H94" s="69" t="n"/>
      <c r="I94" s="71" t="n"/>
      <c r="J94" s="72" t="n"/>
      <c r="K94" s="69" t="n"/>
      <c r="L94" s="69" t="n"/>
      <c r="M94" s="73" t="n"/>
      <c r="N94" s="69" t="n"/>
      <c r="O94" s="69" t="n"/>
      <c r="P94" s="69" t="n"/>
      <c r="Q94" s="69" t="n"/>
      <c r="R94" s="69" t="n"/>
      <c r="S94" s="69" t="n"/>
      <c r="T94" s="74" t="n"/>
      <c r="U94" s="75" t="n"/>
      <c r="V94" s="75" t="n"/>
      <c r="W94" s="76" t="n"/>
    </row>
    <row r="95" ht="13.5" customHeight="1" s="198">
      <c r="A95" s="68" t="n"/>
      <c r="B95" s="68" t="n"/>
      <c r="C95" s="69" t="n"/>
      <c r="D95" s="68" t="n"/>
      <c r="E95" s="69" t="n"/>
      <c r="F95" s="69" t="n"/>
      <c r="G95" s="70" t="n"/>
      <c r="H95" s="69" t="n"/>
      <c r="I95" s="71" t="n"/>
      <c r="J95" s="72" t="n"/>
      <c r="K95" s="69" t="n"/>
      <c r="L95" s="69" t="n"/>
      <c r="M95" s="73" t="n"/>
      <c r="N95" s="69" t="n"/>
      <c r="O95" s="69" t="n"/>
      <c r="P95" s="69" t="n"/>
      <c r="Q95" s="69" t="n"/>
      <c r="R95" s="69" t="n"/>
      <c r="S95" s="69" t="n"/>
      <c r="T95" s="74" t="n"/>
      <c r="U95" s="75" t="n"/>
      <c r="V95" s="75" t="n"/>
      <c r="W95" s="76" t="n"/>
    </row>
    <row r="96" ht="13.5" customHeight="1" s="198">
      <c r="A96" s="68" t="n"/>
      <c r="B96" s="68" t="n"/>
      <c r="C96" s="69" t="n"/>
      <c r="D96" s="68" t="n"/>
      <c r="E96" s="69" t="n"/>
      <c r="F96" s="69" t="n"/>
      <c r="G96" s="70" t="n"/>
      <c r="H96" s="69" t="n"/>
      <c r="I96" s="71" t="n"/>
      <c r="J96" s="72" t="n"/>
      <c r="K96" s="69" t="n"/>
      <c r="L96" s="69" t="n"/>
      <c r="M96" s="73" t="n"/>
      <c r="N96" s="69" t="n"/>
      <c r="O96" s="69" t="n"/>
      <c r="P96" s="69" t="n"/>
      <c r="Q96" s="69" t="n"/>
      <c r="R96" s="69" t="n"/>
      <c r="S96" s="69" t="n"/>
      <c r="T96" s="74" t="n"/>
      <c r="U96" s="75" t="n"/>
      <c r="V96" s="75" t="n"/>
      <c r="W96" s="76" t="n"/>
    </row>
    <row r="97" ht="13.5" customHeight="1" s="198">
      <c r="A97" s="68" t="n"/>
      <c r="B97" s="68" t="n"/>
      <c r="C97" s="69" t="n"/>
      <c r="D97" s="68" t="n"/>
      <c r="E97" s="69" t="n"/>
      <c r="F97" s="69" t="n"/>
      <c r="G97" s="70" t="n"/>
      <c r="H97" s="69" t="n"/>
      <c r="I97" s="71" t="n"/>
      <c r="J97" s="72" t="n"/>
      <c r="K97" s="69" t="n"/>
      <c r="L97" s="69" t="n"/>
      <c r="M97" s="73" t="n"/>
      <c r="N97" s="69" t="n"/>
      <c r="O97" s="69" t="n"/>
      <c r="P97" s="69" t="n"/>
      <c r="Q97" s="69" t="n"/>
      <c r="R97" s="69" t="n"/>
      <c r="S97" s="69" t="n"/>
      <c r="T97" s="74" t="n"/>
      <c r="U97" s="75" t="n"/>
      <c r="V97" s="75" t="n"/>
      <c r="W97" s="76" t="n"/>
    </row>
    <row r="98" ht="13.5" customHeight="1" s="198">
      <c r="A98" s="68" t="n"/>
      <c r="B98" s="68" t="n"/>
      <c r="C98" s="69" t="n"/>
      <c r="D98" s="68" t="n"/>
      <c r="E98" s="69" t="n"/>
      <c r="F98" s="69" t="n"/>
      <c r="G98" s="70" t="n"/>
      <c r="H98" s="69" t="n"/>
      <c r="I98" s="71" t="n"/>
      <c r="J98" s="72" t="n"/>
      <c r="K98" s="69" t="n"/>
      <c r="L98" s="69" t="n"/>
      <c r="M98" s="73" t="n"/>
      <c r="N98" s="69" t="n"/>
      <c r="O98" s="69" t="n"/>
      <c r="P98" s="69" t="n"/>
      <c r="Q98" s="69" t="n"/>
      <c r="R98" s="69" t="n"/>
      <c r="S98" s="69" t="n"/>
      <c r="T98" s="74" t="n"/>
      <c r="U98" s="75" t="n"/>
      <c r="V98" s="75" t="n"/>
      <c r="W98" s="76" t="n"/>
    </row>
    <row r="99" ht="13.5" customHeight="1" s="198">
      <c r="A99" s="68" t="n"/>
      <c r="B99" s="68" t="n"/>
      <c r="C99" s="69" t="n"/>
      <c r="D99" s="68" t="n"/>
      <c r="E99" s="69" t="n"/>
      <c r="F99" s="69" t="n"/>
      <c r="G99" s="70" t="n"/>
      <c r="H99" s="69" t="n"/>
      <c r="I99" s="71" t="n"/>
      <c r="J99" s="72" t="n"/>
      <c r="K99" s="69" t="n"/>
      <c r="L99" s="69" t="n"/>
      <c r="M99" s="73" t="n"/>
      <c r="N99" s="69" t="n"/>
      <c r="O99" s="69" t="n"/>
      <c r="P99" s="69" t="n"/>
      <c r="Q99" s="69" t="n"/>
      <c r="R99" s="69" t="n"/>
      <c r="S99" s="69" t="n"/>
      <c r="T99" s="74" t="n"/>
      <c r="U99" s="75" t="n"/>
      <c r="V99" s="75" t="n"/>
      <c r="W99" s="76" t="n"/>
    </row>
    <row r="100" ht="13.5" customHeight="1" s="198">
      <c r="A100" s="68" t="n"/>
      <c r="B100" s="68" t="n"/>
      <c r="C100" s="69" t="n"/>
      <c r="D100" s="68" t="n"/>
      <c r="E100" s="69" t="n"/>
      <c r="F100" s="69" t="n"/>
      <c r="G100" s="70" t="n"/>
      <c r="H100" s="69" t="n"/>
      <c r="I100" s="71" t="n"/>
      <c r="J100" s="72" t="n"/>
      <c r="K100" s="69" t="n"/>
      <c r="L100" s="69" t="n"/>
      <c r="M100" s="73" t="n"/>
      <c r="N100" s="69" t="n"/>
      <c r="O100" s="69" t="n"/>
      <c r="P100" s="69" t="n"/>
      <c r="Q100" s="69" t="n"/>
      <c r="R100" s="69" t="n"/>
      <c r="S100" s="69" t="n"/>
      <c r="T100" s="74" t="n"/>
      <c r="U100" s="75" t="n"/>
      <c r="V100" s="75" t="n"/>
      <c r="W100" s="76" t="n"/>
    </row>
    <row r="101" ht="13.5" customHeight="1" s="198">
      <c r="A101" s="68" t="n"/>
      <c r="B101" s="68" t="n"/>
      <c r="C101" s="69" t="n"/>
      <c r="D101" s="68" t="n"/>
      <c r="E101" s="69" t="n"/>
      <c r="F101" s="69" t="n"/>
      <c r="G101" s="70" t="n"/>
      <c r="H101" s="69" t="n"/>
      <c r="I101" s="71" t="n"/>
      <c r="J101" s="72" t="n"/>
      <c r="K101" s="69" t="n"/>
      <c r="L101" s="69" t="n"/>
      <c r="M101" s="73" t="n"/>
      <c r="N101" s="69" t="n"/>
      <c r="O101" s="69" t="n"/>
      <c r="P101" s="69" t="n"/>
      <c r="Q101" s="69" t="n"/>
      <c r="R101" s="69" t="n"/>
      <c r="S101" s="69" t="n"/>
      <c r="T101" s="74" t="n"/>
      <c r="U101" s="75" t="n"/>
      <c r="V101" s="75" t="n"/>
      <c r="W101" s="76" t="n"/>
    </row>
    <row r="102" ht="13.5" customHeight="1" s="198">
      <c r="A102" s="68" t="n"/>
      <c r="B102" s="68" t="n"/>
      <c r="C102" s="69" t="n"/>
      <c r="D102" s="68" t="n"/>
      <c r="E102" s="69" t="n"/>
      <c r="F102" s="69" t="n"/>
      <c r="G102" s="70" t="n"/>
      <c r="H102" s="69" t="n"/>
      <c r="I102" s="71" t="n"/>
      <c r="J102" s="72" t="n"/>
      <c r="K102" s="69" t="n"/>
      <c r="L102" s="69" t="n"/>
      <c r="M102" s="73" t="n"/>
      <c r="N102" s="69" t="n"/>
      <c r="O102" s="69" t="n"/>
      <c r="P102" s="69" t="n"/>
      <c r="Q102" s="69" t="n"/>
      <c r="R102" s="69" t="n"/>
      <c r="S102" s="69" t="n"/>
      <c r="T102" s="74" t="n"/>
      <c r="U102" s="75" t="n"/>
      <c r="V102" s="75" t="n"/>
      <c r="W102" s="76" t="n"/>
    </row>
    <row r="103" ht="13.5" customHeight="1" s="198">
      <c r="A103" s="68" t="n"/>
      <c r="B103" s="68" t="n"/>
      <c r="C103" s="69" t="n"/>
      <c r="D103" s="68" t="n"/>
      <c r="E103" s="69" t="n"/>
      <c r="F103" s="69" t="n"/>
      <c r="G103" s="70" t="n"/>
      <c r="H103" s="69" t="n"/>
      <c r="I103" s="71" t="n"/>
      <c r="J103" s="72" t="n"/>
      <c r="K103" s="69" t="n"/>
      <c r="L103" s="69" t="n"/>
      <c r="M103" s="73" t="n"/>
      <c r="N103" s="69" t="n"/>
      <c r="O103" s="69" t="n"/>
      <c r="P103" s="69" t="n"/>
      <c r="Q103" s="69" t="n"/>
      <c r="R103" s="69" t="n"/>
      <c r="S103" s="69" t="n"/>
      <c r="T103" s="74" t="n"/>
      <c r="U103" s="75" t="n"/>
      <c r="V103" s="75" t="n"/>
      <c r="W103" s="76" t="n"/>
    </row>
    <row r="104" ht="13.5" customHeight="1" s="198">
      <c r="A104" s="68" t="n"/>
      <c r="B104" s="68" t="n"/>
      <c r="C104" s="69" t="n"/>
      <c r="D104" s="68" t="n"/>
      <c r="E104" s="69" t="n"/>
      <c r="F104" s="69" t="n"/>
      <c r="G104" s="70" t="n"/>
      <c r="H104" s="69" t="n"/>
      <c r="I104" s="71" t="n"/>
      <c r="J104" s="72" t="n"/>
      <c r="K104" s="69" t="n"/>
      <c r="L104" s="69" t="n"/>
      <c r="M104" s="73" t="n"/>
      <c r="N104" s="69" t="n"/>
      <c r="O104" s="69" t="n"/>
      <c r="P104" s="69" t="n"/>
      <c r="Q104" s="69" t="n"/>
      <c r="R104" s="69" t="n"/>
      <c r="S104" s="69" t="n"/>
      <c r="T104" s="74" t="n"/>
      <c r="U104" s="75" t="n"/>
      <c r="V104" s="75" t="n"/>
      <c r="W104" s="76" t="n"/>
    </row>
    <row r="105" ht="13.5" customHeight="1" s="198">
      <c r="A105" s="68" t="n"/>
      <c r="B105" s="68" t="n"/>
      <c r="C105" s="69" t="n"/>
      <c r="D105" s="68" t="n"/>
      <c r="E105" s="69" t="n"/>
      <c r="F105" s="69" t="n"/>
      <c r="G105" s="70" t="n"/>
      <c r="H105" s="69" t="n"/>
      <c r="I105" s="71" t="n"/>
      <c r="J105" s="72" t="n"/>
      <c r="K105" s="69" t="n"/>
      <c r="L105" s="69" t="n"/>
      <c r="M105" s="73" t="n"/>
      <c r="N105" s="69" t="n"/>
      <c r="O105" s="69" t="n"/>
      <c r="P105" s="69" t="n"/>
      <c r="Q105" s="69" t="n"/>
      <c r="R105" s="69" t="n"/>
      <c r="S105" s="69" t="n"/>
      <c r="T105" s="74" t="n"/>
      <c r="U105" s="75" t="n"/>
      <c r="V105" s="75" t="n"/>
      <c r="W105" s="76" t="n"/>
    </row>
    <row r="106" ht="13.5" customHeight="1" s="198">
      <c r="A106" s="68" t="n"/>
      <c r="B106" s="68" t="n"/>
      <c r="C106" s="69" t="n"/>
      <c r="D106" s="68" t="n"/>
      <c r="E106" s="69" t="n"/>
      <c r="F106" s="69" t="n"/>
      <c r="G106" s="70" t="n"/>
      <c r="H106" s="69" t="n"/>
      <c r="I106" s="71" t="n"/>
      <c r="J106" s="72" t="n"/>
      <c r="K106" s="69" t="n"/>
      <c r="L106" s="69" t="n"/>
      <c r="M106" s="73" t="n"/>
      <c r="N106" s="69" t="n"/>
      <c r="O106" s="69" t="n"/>
      <c r="P106" s="69" t="n"/>
      <c r="Q106" s="69" t="n"/>
      <c r="R106" s="69" t="n"/>
      <c r="S106" s="69" t="n"/>
      <c r="T106" s="74" t="n"/>
      <c r="U106" s="75" t="n"/>
      <c r="V106" s="75" t="n"/>
      <c r="W106" s="76" t="n"/>
    </row>
    <row r="107" ht="13.5" customHeight="1" s="198">
      <c r="A107" s="68" t="n"/>
      <c r="B107" s="68" t="n"/>
      <c r="C107" s="69" t="n"/>
      <c r="D107" s="68" t="n"/>
      <c r="E107" s="69" t="n"/>
      <c r="F107" s="69" t="n"/>
      <c r="G107" s="70" t="n"/>
      <c r="H107" s="69" t="n"/>
      <c r="I107" s="71" t="n"/>
      <c r="J107" s="72" t="n"/>
      <c r="K107" s="69" t="n"/>
      <c r="L107" s="69" t="n"/>
      <c r="M107" s="73" t="n"/>
      <c r="N107" s="69" t="n"/>
      <c r="O107" s="69" t="n"/>
      <c r="P107" s="69" t="n"/>
      <c r="Q107" s="69" t="n"/>
      <c r="R107" s="69" t="n"/>
      <c r="S107" s="69" t="n"/>
      <c r="T107" s="74" t="n"/>
      <c r="U107" s="75" t="n"/>
      <c r="V107" s="75" t="n"/>
      <c r="W107" s="76" t="n"/>
    </row>
    <row r="108" ht="13.5" customHeight="1" s="198">
      <c r="A108" s="68" t="n"/>
      <c r="B108" s="68" t="n"/>
      <c r="C108" s="69" t="n"/>
      <c r="D108" s="68" t="n"/>
      <c r="E108" s="69" t="n"/>
      <c r="F108" s="69" t="n"/>
      <c r="G108" s="70" t="n"/>
      <c r="H108" s="69" t="n"/>
      <c r="I108" s="71" t="n"/>
      <c r="J108" s="72" t="n"/>
      <c r="K108" s="69" t="n"/>
      <c r="L108" s="69" t="n"/>
      <c r="M108" s="73" t="n"/>
      <c r="N108" s="69" t="n"/>
      <c r="O108" s="69" t="n"/>
      <c r="P108" s="69" t="n"/>
      <c r="Q108" s="69" t="n"/>
      <c r="R108" s="69" t="n"/>
      <c r="S108" s="69" t="n"/>
      <c r="T108" s="74" t="n"/>
      <c r="U108" s="75" t="n"/>
      <c r="V108" s="75" t="n"/>
      <c r="W108" s="76" t="n"/>
    </row>
    <row r="109" ht="13.5" customHeight="1" s="198">
      <c r="A109" s="68" t="n"/>
      <c r="B109" s="68" t="n"/>
      <c r="C109" s="69" t="n"/>
      <c r="D109" s="68" t="n"/>
      <c r="E109" s="69" t="n"/>
      <c r="F109" s="69" t="n"/>
      <c r="G109" s="70" t="n"/>
      <c r="H109" s="69" t="n"/>
      <c r="I109" s="71" t="n"/>
      <c r="J109" s="72" t="n"/>
      <c r="K109" s="69" t="n"/>
      <c r="L109" s="69" t="n"/>
      <c r="M109" s="73" t="n"/>
      <c r="N109" s="69" t="n"/>
      <c r="O109" s="69" t="n"/>
      <c r="P109" s="69" t="n"/>
      <c r="Q109" s="69" t="n"/>
      <c r="R109" s="69" t="n"/>
      <c r="S109" s="69" t="n"/>
      <c r="T109" s="74" t="n"/>
      <c r="U109" s="75" t="n"/>
      <c r="V109" s="75" t="n"/>
      <c r="W109" s="76" t="n"/>
    </row>
    <row r="110" ht="13.5" customHeight="1" s="198">
      <c r="A110" s="68" t="n"/>
      <c r="B110" s="68" t="n"/>
      <c r="C110" s="69" t="n"/>
      <c r="D110" s="68" t="n"/>
      <c r="E110" s="69" t="n"/>
      <c r="F110" s="69" t="n"/>
      <c r="G110" s="70" t="n"/>
      <c r="H110" s="69" t="n"/>
      <c r="I110" s="71" t="n"/>
      <c r="J110" s="72" t="n"/>
      <c r="K110" s="69" t="n"/>
      <c r="L110" s="69" t="n"/>
      <c r="M110" s="73" t="n"/>
      <c r="N110" s="69" t="n"/>
      <c r="O110" s="69" t="n"/>
      <c r="P110" s="69" t="n"/>
      <c r="Q110" s="69" t="n"/>
      <c r="R110" s="69" t="n"/>
      <c r="S110" s="69" t="n"/>
      <c r="T110" s="74" t="n"/>
      <c r="U110" s="75" t="n"/>
      <c r="V110" s="75" t="n"/>
      <c r="W110" s="76" t="n"/>
    </row>
    <row r="111" ht="13.5" customHeight="1" s="198">
      <c r="A111" s="68" t="n"/>
      <c r="B111" s="68" t="n"/>
      <c r="C111" s="69" t="n"/>
      <c r="D111" s="68" t="n"/>
      <c r="E111" s="69" t="n"/>
      <c r="F111" s="69" t="n"/>
      <c r="G111" s="70" t="n"/>
      <c r="H111" s="69" t="n"/>
      <c r="I111" s="71" t="n"/>
      <c r="J111" s="72" t="n"/>
      <c r="K111" s="69" t="n"/>
      <c r="L111" s="69" t="n"/>
      <c r="M111" s="73" t="n"/>
      <c r="N111" s="69" t="n"/>
      <c r="O111" s="69" t="n"/>
      <c r="P111" s="69" t="n"/>
      <c r="Q111" s="69" t="n"/>
      <c r="R111" s="69" t="n"/>
      <c r="S111" s="69" t="n"/>
      <c r="T111" s="74" t="n"/>
      <c r="U111" s="75" t="n"/>
      <c r="V111" s="75" t="n"/>
      <c r="W111" s="76" t="n"/>
    </row>
    <row r="112" ht="13.5" customHeight="1" s="198">
      <c r="A112" s="68" t="n"/>
      <c r="B112" s="68" t="n"/>
      <c r="C112" s="69" t="n"/>
      <c r="D112" s="68" t="n"/>
      <c r="E112" s="69" t="n"/>
      <c r="F112" s="69" t="n"/>
      <c r="G112" s="70" t="n"/>
      <c r="H112" s="69" t="n"/>
      <c r="I112" s="71" t="n"/>
      <c r="J112" s="72" t="n"/>
      <c r="K112" s="69" t="n"/>
      <c r="L112" s="69" t="n"/>
      <c r="M112" s="73" t="n"/>
      <c r="N112" s="69" t="n"/>
      <c r="O112" s="69" t="n"/>
      <c r="P112" s="69" t="n"/>
      <c r="Q112" s="69" t="n"/>
      <c r="R112" s="69" t="n"/>
      <c r="S112" s="69" t="n"/>
      <c r="T112" s="74" t="n"/>
      <c r="U112" s="75" t="n"/>
      <c r="V112" s="75" t="n"/>
      <c r="W112" s="76" t="n"/>
    </row>
    <row r="113" ht="13.5" customHeight="1" s="198">
      <c r="A113" s="68" t="n"/>
      <c r="B113" s="68" t="n"/>
      <c r="C113" s="69" t="n"/>
      <c r="D113" s="68" t="n"/>
      <c r="E113" s="69" t="n"/>
      <c r="F113" s="69" t="n"/>
      <c r="G113" s="70" t="n"/>
      <c r="H113" s="69" t="n"/>
      <c r="I113" s="71" t="n"/>
      <c r="J113" s="72" t="n"/>
      <c r="K113" s="69" t="n"/>
      <c r="L113" s="69" t="n"/>
      <c r="M113" s="73" t="n"/>
      <c r="N113" s="69" t="n"/>
      <c r="O113" s="69" t="n"/>
      <c r="P113" s="69" t="n"/>
      <c r="Q113" s="69" t="n"/>
      <c r="R113" s="69" t="n"/>
      <c r="S113" s="69" t="n"/>
      <c r="T113" s="74" t="n"/>
      <c r="U113" s="75" t="n"/>
      <c r="V113" s="75" t="n"/>
      <c r="W113" s="76" t="n"/>
    </row>
    <row r="114" ht="13.5" customHeight="1" s="198">
      <c r="A114" s="68" t="n"/>
      <c r="B114" s="68" t="n"/>
      <c r="C114" s="69" t="n"/>
      <c r="D114" s="68" t="n"/>
      <c r="E114" s="69" t="n"/>
      <c r="F114" s="69" t="n"/>
      <c r="G114" s="70" t="n"/>
      <c r="H114" s="69" t="n"/>
      <c r="I114" s="71" t="n"/>
      <c r="J114" s="72" t="n"/>
      <c r="K114" s="69" t="n"/>
      <c r="L114" s="69" t="n"/>
      <c r="M114" s="73" t="n"/>
      <c r="N114" s="69" t="n"/>
      <c r="O114" s="69" t="n"/>
      <c r="P114" s="69" t="n"/>
      <c r="Q114" s="69" t="n"/>
      <c r="R114" s="69" t="n"/>
      <c r="S114" s="69" t="n"/>
      <c r="T114" s="74" t="n"/>
      <c r="U114" s="75" t="n"/>
      <c r="V114" s="75" t="n"/>
      <c r="W114" s="76" t="n"/>
    </row>
    <row r="115" ht="13.5" customHeight="1" s="198">
      <c r="A115" s="68" t="n"/>
      <c r="B115" s="68" t="n"/>
      <c r="C115" s="69" t="n"/>
      <c r="D115" s="68" t="n"/>
      <c r="E115" s="69" t="n"/>
      <c r="F115" s="69" t="n"/>
      <c r="G115" s="70" t="n"/>
      <c r="H115" s="69" t="n"/>
      <c r="I115" s="71" t="n"/>
      <c r="J115" s="72" t="n"/>
      <c r="K115" s="69" t="n"/>
      <c r="L115" s="69" t="n"/>
      <c r="M115" s="73" t="n"/>
      <c r="N115" s="69" t="n"/>
      <c r="O115" s="69" t="n"/>
      <c r="P115" s="69" t="n"/>
      <c r="Q115" s="69" t="n"/>
      <c r="R115" s="69" t="n"/>
      <c r="S115" s="69" t="n"/>
      <c r="T115" s="74" t="n"/>
      <c r="U115" s="75" t="n"/>
      <c r="V115" s="75" t="n"/>
      <c r="W115" s="76" t="n"/>
    </row>
    <row r="116" ht="13.5" customHeight="1" s="198">
      <c r="A116" s="68" t="n"/>
      <c r="B116" s="68" t="n"/>
      <c r="C116" s="69" t="n"/>
      <c r="D116" s="68" t="n"/>
      <c r="E116" s="69" t="n"/>
      <c r="F116" s="69" t="n"/>
      <c r="G116" s="70" t="n"/>
      <c r="H116" s="69" t="n"/>
      <c r="I116" s="71" t="n"/>
      <c r="J116" s="72" t="n"/>
      <c r="K116" s="69" t="n"/>
      <c r="L116" s="69" t="n"/>
      <c r="M116" s="73" t="n"/>
      <c r="N116" s="69" t="n"/>
      <c r="O116" s="69" t="n"/>
      <c r="P116" s="69" t="n"/>
      <c r="Q116" s="69" t="n"/>
      <c r="R116" s="69" t="n"/>
      <c r="S116" s="69" t="n"/>
      <c r="T116" s="74" t="n"/>
      <c r="U116" s="75" t="n"/>
      <c r="V116" s="75" t="n"/>
      <c r="W116" s="76" t="n"/>
    </row>
    <row r="117" ht="13.5" customHeight="1" s="198">
      <c r="A117" s="68" t="n"/>
      <c r="B117" s="68" t="n"/>
      <c r="C117" s="69" t="n"/>
      <c r="D117" s="68" t="n"/>
      <c r="E117" s="69" t="n"/>
      <c r="F117" s="69" t="n"/>
      <c r="G117" s="70" t="n"/>
      <c r="H117" s="69" t="n"/>
      <c r="I117" s="71" t="n"/>
      <c r="J117" s="72" t="n"/>
      <c r="K117" s="69" t="n"/>
      <c r="L117" s="69" t="n"/>
      <c r="M117" s="73" t="n"/>
      <c r="N117" s="69" t="n"/>
      <c r="O117" s="69" t="n"/>
      <c r="P117" s="69" t="n"/>
      <c r="Q117" s="69" t="n"/>
      <c r="R117" s="69" t="n"/>
      <c r="S117" s="69" t="n"/>
      <c r="T117" s="74" t="n"/>
      <c r="U117" s="75" t="n"/>
      <c r="V117" s="75" t="n"/>
      <c r="W117" s="76" t="n"/>
    </row>
    <row r="118" ht="13.5" customHeight="1" s="198">
      <c r="A118" s="68" t="n"/>
      <c r="B118" s="68" t="n"/>
      <c r="C118" s="69" t="n"/>
      <c r="D118" s="68" t="n"/>
      <c r="E118" s="69" t="n"/>
      <c r="F118" s="69" t="n"/>
      <c r="G118" s="70" t="n"/>
      <c r="H118" s="69" t="n"/>
      <c r="I118" s="71" t="n"/>
      <c r="J118" s="72" t="n"/>
      <c r="K118" s="69" t="n"/>
      <c r="L118" s="69" t="n"/>
      <c r="M118" s="73" t="n"/>
      <c r="N118" s="69" t="n"/>
      <c r="O118" s="69" t="n"/>
      <c r="P118" s="69" t="n"/>
      <c r="Q118" s="69" t="n"/>
      <c r="R118" s="69" t="n"/>
      <c r="S118" s="69" t="n"/>
      <c r="T118" s="74" t="n"/>
      <c r="U118" s="75" t="n"/>
      <c r="V118" s="75" t="n"/>
      <c r="W118" s="76" t="n"/>
    </row>
    <row r="119" ht="13.5" customHeight="1" s="198">
      <c r="A119" s="68" t="n"/>
      <c r="B119" s="68" t="n"/>
      <c r="C119" s="69" t="n"/>
      <c r="D119" s="68" t="n"/>
      <c r="E119" s="69" t="n"/>
      <c r="F119" s="69" t="n"/>
      <c r="G119" s="70" t="n"/>
      <c r="H119" s="69" t="n"/>
      <c r="I119" s="71" t="n"/>
      <c r="J119" s="72" t="n"/>
      <c r="K119" s="69" t="n"/>
      <c r="L119" s="69" t="n"/>
      <c r="M119" s="73" t="n"/>
      <c r="N119" s="69" t="n"/>
      <c r="O119" s="69" t="n"/>
      <c r="P119" s="69" t="n"/>
      <c r="Q119" s="69" t="n"/>
      <c r="R119" s="69" t="n"/>
      <c r="S119" s="69" t="n"/>
      <c r="T119" s="74" t="n"/>
      <c r="U119" s="75" t="n"/>
      <c r="V119" s="75" t="n"/>
      <c r="W119" s="76" t="n"/>
    </row>
    <row r="120" ht="13.5" customHeight="1" s="198">
      <c r="A120" s="68" t="n"/>
      <c r="B120" s="68" t="n"/>
      <c r="C120" s="69" t="n"/>
      <c r="D120" s="68" t="n"/>
      <c r="E120" s="69" t="n"/>
      <c r="F120" s="69" t="n"/>
      <c r="G120" s="70" t="n"/>
      <c r="H120" s="69" t="n"/>
      <c r="I120" s="71" t="n"/>
      <c r="J120" s="72" t="n"/>
      <c r="K120" s="69" t="n"/>
      <c r="L120" s="69" t="n"/>
      <c r="M120" s="73" t="n"/>
      <c r="N120" s="69" t="n"/>
      <c r="O120" s="69" t="n"/>
      <c r="P120" s="69" t="n"/>
      <c r="Q120" s="69" t="n"/>
      <c r="R120" s="69" t="n"/>
      <c r="S120" s="69" t="n"/>
      <c r="T120" s="74" t="n"/>
      <c r="U120" s="75" t="n"/>
      <c r="V120" s="75" t="n"/>
      <c r="W120" s="76" t="n"/>
    </row>
    <row r="121" ht="13.5" customHeight="1" s="198">
      <c r="A121" s="68" t="n"/>
      <c r="B121" s="68" t="n"/>
      <c r="C121" s="69" t="n"/>
      <c r="D121" s="68" t="n"/>
      <c r="E121" s="69" t="n"/>
      <c r="F121" s="69" t="n"/>
      <c r="G121" s="70" t="n"/>
      <c r="H121" s="69" t="n"/>
      <c r="I121" s="71" t="n"/>
      <c r="J121" s="72" t="n"/>
      <c r="K121" s="69" t="n"/>
      <c r="L121" s="69" t="n"/>
      <c r="M121" s="73" t="n"/>
      <c r="N121" s="69" t="n"/>
      <c r="O121" s="69" t="n"/>
      <c r="P121" s="69" t="n"/>
      <c r="Q121" s="69" t="n"/>
      <c r="R121" s="69" t="n"/>
      <c r="S121" s="69" t="n"/>
      <c r="T121" s="74" t="n"/>
      <c r="U121" s="75" t="n"/>
      <c r="V121" s="75" t="n"/>
      <c r="W121" s="76" t="n"/>
    </row>
    <row r="122" ht="13.5" customHeight="1" s="198">
      <c r="A122" s="68" t="n"/>
      <c r="B122" s="68" t="n"/>
      <c r="C122" s="69" t="n"/>
      <c r="D122" s="68" t="n"/>
      <c r="E122" s="69" t="n"/>
      <c r="F122" s="69" t="n"/>
      <c r="G122" s="70" t="n"/>
      <c r="H122" s="69" t="n"/>
      <c r="I122" s="71" t="n"/>
      <c r="J122" s="72" t="n"/>
      <c r="K122" s="69" t="n"/>
      <c r="L122" s="69" t="n"/>
      <c r="M122" s="73" t="n"/>
      <c r="N122" s="69" t="n"/>
      <c r="O122" s="69" t="n"/>
      <c r="P122" s="69" t="n"/>
      <c r="Q122" s="69" t="n"/>
      <c r="R122" s="69" t="n"/>
      <c r="S122" s="69" t="n"/>
      <c r="T122" s="74" t="n"/>
      <c r="U122" s="75" t="n"/>
      <c r="V122" s="75" t="n"/>
      <c r="W122" s="76" t="n"/>
    </row>
    <row r="123" ht="13.5" customHeight="1" s="198">
      <c r="A123" s="68" t="n"/>
      <c r="B123" s="68" t="n"/>
      <c r="C123" s="69" t="n"/>
      <c r="D123" s="68" t="n"/>
      <c r="E123" s="69" t="n"/>
      <c r="F123" s="69" t="n"/>
      <c r="G123" s="70" t="n"/>
      <c r="H123" s="69" t="n"/>
      <c r="I123" s="71" t="n"/>
      <c r="J123" s="72" t="n"/>
      <c r="K123" s="69" t="n"/>
      <c r="L123" s="69" t="n"/>
      <c r="M123" s="73" t="n"/>
      <c r="N123" s="69" t="n"/>
      <c r="O123" s="69" t="n"/>
      <c r="P123" s="69" t="n"/>
      <c r="Q123" s="69" t="n"/>
      <c r="R123" s="69" t="n"/>
      <c r="S123" s="69" t="n"/>
      <c r="T123" s="74" t="n"/>
      <c r="U123" s="75" t="n"/>
      <c r="V123" s="75" t="n"/>
      <c r="W123" s="76" t="n"/>
    </row>
    <row r="124" ht="13.5" customHeight="1" s="198">
      <c r="A124" s="68" t="n"/>
      <c r="B124" s="68" t="n"/>
      <c r="C124" s="69" t="n"/>
      <c r="D124" s="68" t="n"/>
      <c r="E124" s="69" t="n"/>
      <c r="F124" s="69" t="n"/>
      <c r="G124" s="70" t="n"/>
      <c r="H124" s="69" t="n"/>
      <c r="I124" s="71" t="n"/>
      <c r="J124" s="72" t="n"/>
      <c r="K124" s="69" t="n"/>
      <c r="L124" s="69" t="n"/>
      <c r="M124" s="73" t="n"/>
      <c r="N124" s="69" t="n"/>
      <c r="O124" s="69" t="n"/>
      <c r="P124" s="69" t="n"/>
      <c r="Q124" s="69" t="n"/>
      <c r="R124" s="69" t="n"/>
      <c r="S124" s="69" t="n"/>
      <c r="T124" s="74" t="n"/>
      <c r="U124" s="75" t="n"/>
      <c r="V124" s="75" t="n"/>
      <c r="W124" s="76" t="n"/>
    </row>
    <row r="125" ht="13.5" customHeight="1" s="198">
      <c r="A125" s="68" t="n"/>
      <c r="B125" s="68" t="n"/>
      <c r="C125" s="69" t="n"/>
      <c r="D125" s="68" t="n"/>
      <c r="E125" s="69" t="n"/>
      <c r="F125" s="69" t="n"/>
      <c r="G125" s="70" t="n"/>
      <c r="H125" s="69" t="n"/>
      <c r="I125" s="71" t="n"/>
      <c r="J125" s="72" t="n"/>
      <c r="K125" s="69" t="n"/>
      <c r="L125" s="69" t="n"/>
      <c r="M125" s="73" t="n"/>
      <c r="N125" s="69" t="n"/>
      <c r="O125" s="69" t="n"/>
      <c r="P125" s="69" t="n"/>
      <c r="Q125" s="69" t="n"/>
      <c r="R125" s="69" t="n"/>
      <c r="S125" s="69" t="n"/>
      <c r="T125" s="74" t="n"/>
      <c r="U125" s="75" t="n"/>
      <c r="V125" s="75" t="n"/>
      <c r="W125" s="76" t="n"/>
    </row>
    <row r="126" ht="13.5" customHeight="1" s="198">
      <c r="A126" s="68" t="n"/>
      <c r="B126" s="68" t="n"/>
      <c r="C126" s="69" t="n"/>
      <c r="D126" s="68" t="n"/>
      <c r="E126" s="69" t="n"/>
      <c r="F126" s="69" t="n"/>
      <c r="G126" s="70" t="n"/>
      <c r="H126" s="69" t="n"/>
      <c r="I126" s="71" t="n"/>
      <c r="J126" s="72" t="n"/>
      <c r="K126" s="69" t="n"/>
      <c r="L126" s="69" t="n"/>
      <c r="M126" s="73" t="n"/>
      <c r="N126" s="69" t="n"/>
      <c r="O126" s="69" t="n"/>
      <c r="P126" s="69" t="n"/>
      <c r="Q126" s="69" t="n"/>
      <c r="R126" s="69" t="n"/>
      <c r="S126" s="69" t="n"/>
      <c r="T126" s="74" t="n"/>
      <c r="U126" s="75" t="n"/>
      <c r="V126" s="75" t="n"/>
      <c r="W126" s="76" t="n"/>
    </row>
    <row r="127" ht="13.5" customHeight="1" s="198">
      <c r="A127" s="68" t="n"/>
      <c r="B127" s="68" t="n"/>
      <c r="C127" s="69" t="n"/>
      <c r="D127" s="68" t="n"/>
      <c r="E127" s="69" t="n"/>
      <c r="F127" s="69" t="n"/>
      <c r="G127" s="70" t="n"/>
      <c r="H127" s="69" t="n"/>
      <c r="I127" s="71" t="n"/>
      <c r="J127" s="72" t="n"/>
      <c r="K127" s="69" t="n"/>
      <c r="L127" s="69" t="n"/>
      <c r="M127" s="73" t="n"/>
      <c r="N127" s="69" t="n"/>
      <c r="O127" s="69" t="n"/>
      <c r="P127" s="69" t="n"/>
      <c r="Q127" s="69" t="n"/>
      <c r="R127" s="69" t="n"/>
      <c r="S127" s="69" t="n"/>
      <c r="T127" s="74" t="n"/>
      <c r="U127" s="75" t="n"/>
      <c r="V127" s="75" t="n"/>
      <c r="W127" s="76" t="n"/>
    </row>
    <row r="128" ht="13.5" customHeight="1" s="198">
      <c r="A128" s="68" t="n"/>
      <c r="B128" s="68" t="n"/>
      <c r="C128" s="69" t="n"/>
      <c r="D128" s="68" t="n"/>
      <c r="E128" s="69" t="n"/>
      <c r="F128" s="69" t="n"/>
      <c r="G128" s="70" t="n"/>
      <c r="H128" s="69" t="n"/>
      <c r="I128" s="71" t="n"/>
      <c r="J128" s="72" t="n"/>
      <c r="K128" s="69" t="n"/>
      <c r="L128" s="69" t="n"/>
      <c r="M128" s="73" t="n"/>
      <c r="N128" s="69" t="n"/>
      <c r="O128" s="69" t="n"/>
      <c r="P128" s="69" t="n"/>
      <c r="Q128" s="69" t="n"/>
      <c r="R128" s="69" t="n"/>
      <c r="S128" s="69" t="n"/>
      <c r="T128" s="74" t="n"/>
      <c r="U128" s="75" t="n"/>
      <c r="V128" s="75" t="n"/>
      <c r="W128" s="76" t="n"/>
    </row>
    <row r="129" ht="13.5" customHeight="1" s="198">
      <c r="A129" s="68" t="n"/>
      <c r="B129" s="68" t="n"/>
      <c r="C129" s="69" t="n"/>
      <c r="D129" s="68" t="n"/>
      <c r="E129" s="69" t="n"/>
      <c r="F129" s="69" t="n"/>
      <c r="G129" s="70" t="n"/>
      <c r="H129" s="69" t="n"/>
      <c r="I129" s="71" t="n"/>
      <c r="J129" s="72" t="n"/>
      <c r="K129" s="69" t="n"/>
      <c r="L129" s="69" t="n"/>
      <c r="M129" s="73" t="n"/>
      <c r="N129" s="69" t="n"/>
      <c r="O129" s="69" t="n"/>
      <c r="P129" s="69" t="n"/>
      <c r="Q129" s="69" t="n"/>
      <c r="R129" s="69" t="n"/>
      <c r="S129" s="69" t="n"/>
      <c r="T129" s="74" t="n"/>
      <c r="U129" s="75" t="n"/>
      <c r="V129" s="75" t="n"/>
      <c r="W129" s="76" t="n"/>
    </row>
    <row r="130" ht="13.5" customHeight="1" s="198">
      <c r="A130" s="68" t="n"/>
      <c r="B130" s="68" t="n"/>
      <c r="C130" s="69" t="n"/>
      <c r="D130" s="68" t="n"/>
      <c r="E130" s="69" t="n"/>
      <c r="F130" s="69" t="n"/>
      <c r="G130" s="70" t="n"/>
      <c r="H130" s="69" t="n"/>
      <c r="I130" s="71" t="n"/>
      <c r="J130" s="72" t="n"/>
      <c r="K130" s="69" t="n"/>
      <c r="L130" s="69" t="n"/>
      <c r="M130" s="73" t="n"/>
      <c r="N130" s="69" t="n"/>
      <c r="O130" s="69" t="n"/>
      <c r="P130" s="69" t="n"/>
      <c r="Q130" s="69" t="n"/>
      <c r="R130" s="69" t="n"/>
      <c r="S130" s="69" t="n"/>
      <c r="T130" s="74" t="n"/>
      <c r="U130" s="75" t="n"/>
      <c r="V130" s="75" t="n"/>
      <c r="W130" s="76" t="n"/>
    </row>
    <row r="131" ht="13.5" customHeight="1" s="198">
      <c r="A131" s="68" t="n"/>
      <c r="B131" s="68" t="n"/>
      <c r="C131" s="69" t="n"/>
      <c r="D131" s="68" t="n"/>
      <c r="E131" s="69" t="n"/>
      <c r="F131" s="69" t="n"/>
      <c r="G131" s="70" t="n"/>
      <c r="H131" s="69" t="n"/>
      <c r="I131" s="71" t="n"/>
      <c r="J131" s="72" t="n"/>
      <c r="K131" s="69" t="n"/>
      <c r="L131" s="69" t="n"/>
      <c r="M131" s="73" t="n"/>
      <c r="N131" s="69" t="n"/>
      <c r="O131" s="69" t="n"/>
      <c r="P131" s="69" t="n"/>
      <c r="Q131" s="69" t="n"/>
      <c r="R131" s="69" t="n"/>
      <c r="S131" s="69" t="n"/>
      <c r="T131" s="74" t="n"/>
      <c r="U131" s="75" t="n"/>
      <c r="V131" s="75" t="n"/>
      <c r="W131" s="76" t="n"/>
    </row>
    <row r="132" ht="13.5" customHeight="1" s="198">
      <c r="A132" s="68" t="n"/>
      <c r="B132" s="68" t="n"/>
      <c r="C132" s="69" t="n"/>
      <c r="D132" s="68" t="n"/>
      <c r="E132" s="69" t="n"/>
      <c r="F132" s="69" t="n"/>
      <c r="G132" s="70" t="n"/>
      <c r="H132" s="69" t="n"/>
      <c r="I132" s="71" t="n"/>
      <c r="J132" s="72" t="n"/>
      <c r="K132" s="69" t="n"/>
      <c r="L132" s="69" t="n"/>
      <c r="M132" s="73" t="n"/>
      <c r="N132" s="69" t="n"/>
      <c r="O132" s="69" t="n"/>
      <c r="P132" s="69" t="n"/>
      <c r="Q132" s="69" t="n"/>
      <c r="R132" s="69" t="n"/>
      <c r="S132" s="69" t="n"/>
      <c r="T132" s="74" t="n"/>
      <c r="U132" s="75" t="n"/>
      <c r="V132" s="75" t="n"/>
      <c r="W132" s="76" t="n"/>
    </row>
    <row r="133" ht="13.5" customHeight="1" s="198">
      <c r="A133" s="68" t="n"/>
      <c r="B133" s="68" t="n"/>
      <c r="C133" s="69" t="n"/>
      <c r="D133" s="68" t="n"/>
      <c r="E133" s="69" t="n"/>
      <c r="F133" s="69" t="n"/>
      <c r="G133" s="70" t="n"/>
      <c r="H133" s="69" t="n"/>
      <c r="I133" s="71" t="n"/>
      <c r="J133" s="72" t="n"/>
      <c r="K133" s="69" t="n"/>
      <c r="L133" s="69" t="n"/>
      <c r="M133" s="73" t="n"/>
      <c r="N133" s="69" t="n"/>
      <c r="O133" s="69" t="n"/>
      <c r="P133" s="69" t="n"/>
      <c r="Q133" s="69" t="n"/>
      <c r="R133" s="69" t="n"/>
      <c r="S133" s="69" t="n"/>
      <c r="T133" s="74" t="n"/>
      <c r="U133" s="75" t="n"/>
      <c r="V133" s="75" t="n"/>
      <c r="W133" s="76" t="n"/>
    </row>
    <row r="134" ht="13.5" customHeight="1" s="198">
      <c r="A134" s="68" t="n"/>
      <c r="B134" s="68" t="n"/>
      <c r="C134" s="69" t="n"/>
      <c r="D134" s="68" t="n"/>
      <c r="E134" s="69" t="n"/>
      <c r="F134" s="69" t="n"/>
      <c r="G134" s="70" t="n"/>
      <c r="H134" s="69" t="n"/>
      <c r="I134" s="71" t="n"/>
      <c r="J134" s="72" t="n"/>
      <c r="K134" s="69" t="n"/>
      <c r="L134" s="69" t="n"/>
      <c r="M134" s="73" t="n"/>
      <c r="N134" s="69" t="n"/>
      <c r="O134" s="69" t="n"/>
      <c r="P134" s="69" t="n"/>
      <c r="Q134" s="69" t="n"/>
      <c r="R134" s="69" t="n"/>
      <c r="S134" s="69" t="n"/>
      <c r="T134" s="74" t="n"/>
      <c r="U134" s="75" t="n"/>
      <c r="V134" s="75" t="n"/>
      <c r="W134" s="76" t="n"/>
    </row>
    <row r="135" ht="13.5" customHeight="1" s="198">
      <c r="A135" s="68" t="n"/>
      <c r="B135" s="68" t="n"/>
      <c r="C135" s="69" t="n"/>
      <c r="D135" s="68" t="n"/>
      <c r="E135" s="69" t="n"/>
      <c r="F135" s="69" t="n"/>
      <c r="G135" s="70" t="n"/>
      <c r="H135" s="69" t="n"/>
      <c r="I135" s="71" t="n"/>
      <c r="J135" s="72" t="n"/>
      <c r="K135" s="69" t="n"/>
      <c r="L135" s="69" t="n"/>
      <c r="M135" s="73" t="n"/>
      <c r="N135" s="69" t="n"/>
      <c r="O135" s="69" t="n"/>
      <c r="P135" s="69" t="n"/>
      <c r="Q135" s="69" t="n"/>
      <c r="R135" s="69" t="n"/>
      <c r="S135" s="69" t="n"/>
      <c r="T135" s="74" t="n"/>
      <c r="U135" s="75" t="n"/>
      <c r="V135" s="75" t="n"/>
      <c r="W135" s="76" t="n"/>
    </row>
    <row r="136" ht="13.5" customHeight="1" s="198">
      <c r="A136" s="68" t="n"/>
      <c r="B136" s="68" t="n"/>
      <c r="C136" s="69" t="n"/>
      <c r="D136" s="68" t="n"/>
      <c r="E136" s="69" t="n"/>
      <c r="F136" s="69" t="n"/>
      <c r="G136" s="70" t="n"/>
      <c r="H136" s="69" t="n"/>
      <c r="I136" s="71" t="n"/>
      <c r="J136" s="72" t="n"/>
      <c r="K136" s="69" t="n"/>
      <c r="L136" s="69" t="n"/>
      <c r="M136" s="73" t="n"/>
      <c r="N136" s="69" t="n"/>
      <c r="O136" s="69" t="n"/>
      <c r="P136" s="69" t="n"/>
      <c r="Q136" s="69" t="n"/>
      <c r="R136" s="69" t="n"/>
      <c r="S136" s="69" t="n"/>
      <c r="T136" s="74" t="n"/>
      <c r="U136" s="75" t="n"/>
      <c r="V136" s="75" t="n"/>
      <c r="W136" s="76" t="n"/>
    </row>
    <row r="137" ht="13.5" customHeight="1" s="198">
      <c r="A137" s="68" t="n"/>
      <c r="B137" s="68" t="n"/>
      <c r="C137" s="69" t="n"/>
      <c r="D137" s="68" t="n"/>
      <c r="E137" s="69" t="n"/>
      <c r="F137" s="69" t="n"/>
      <c r="G137" s="70" t="n"/>
      <c r="H137" s="69" t="n"/>
      <c r="I137" s="71" t="n"/>
      <c r="J137" s="72" t="n"/>
      <c r="K137" s="69" t="n"/>
      <c r="L137" s="69" t="n"/>
      <c r="M137" s="73" t="n"/>
      <c r="N137" s="69" t="n"/>
      <c r="O137" s="69" t="n"/>
      <c r="P137" s="69" t="n"/>
      <c r="Q137" s="69" t="n"/>
      <c r="R137" s="69" t="n"/>
      <c r="S137" s="69" t="n"/>
      <c r="T137" s="74" t="n"/>
      <c r="U137" s="75" t="n"/>
      <c r="V137" s="75" t="n"/>
      <c r="W137" s="76" t="n"/>
    </row>
    <row r="138" ht="13.5" customHeight="1" s="198">
      <c r="A138" s="68" t="n"/>
      <c r="B138" s="68" t="n"/>
      <c r="C138" s="69" t="n"/>
      <c r="D138" s="68" t="n"/>
      <c r="E138" s="69" t="n"/>
      <c r="F138" s="69" t="n"/>
      <c r="G138" s="70" t="n"/>
      <c r="H138" s="69" t="n"/>
      <c r="I138" s="71" t="n"/>
      <c r="J138" s="72" t="n"/>
      <c r="K138" s="69" t="n"/>
      <c r="L138" s="69" t="n"/>
      <c r="M138" s="73" t="n"/>
      <c r="N138" s="69" t="n"/>
      <c r="O138" s="69" t="n"/>
      <c r="P138" s="69" t="n"/>
      <c r="Q138" s="69" t="n"/>
      <c r="R138" s="69" t="n"/>
      <c r="S138" s="69" t="n"/>
      <c r="T138" s="74" t="n"/>
      <c r="U138" s="75" t="n"/>
      <c r="V138" s="75" t="n"/>
      <c r="W138" s="76" t="n"/>
    </row>
    <row r="139" ht="13.5" customHeight="1" s="198">
      <c r="A139" s="68" t="n"/>
      <c r="B139" s="68" t="n"/>
      <c r="C139" s="69" t="n"/>
      <c r="D139" s="68" t="n"/>
      <c r="E139" s="69" t="n"/>
      <c r="F139" s="69" t="n"/>
      <c r="G139" s="70" t="n"/>
      <c r="H139" s="69" t="n"/>
      <c r="I139" s="71" t="n"/>
      <c r="J139" s="72" t="n"/>
      <c r="K139" s="69" t="n"/>
      <c r="L139" s="69" t="n"/>
      <c r="M139" s="73" t="n"/>
      <c r="N139" s="69" t="n"/>
      <c r="O139" s="69" t="n"/>
      <c r="P139" s="69" t="n"/>
      <c r="Q139" s="69" t="n"/>
      <c r="R139" s="69" t="n"/>
      <c r="S139" s="69" t="n"/>
      <c r="T139" s="74" t="n"/>
      <c r="U139" s="75" t="n"/>
      <c r="V139" s="75" t="n"/>
      <c r="W139" s="76" t="n"/>
    </row>
    <row r="140" ht="13.5" customHeight="1" s="198">
      <c r="A140" s="68" t="n"/>
      <c r="B140" s="68" t="n"/>
      <c r="C140" s="69" t="n"/>
      <c r="D140" s="68" t="n"/>
      <c r="E140" s="69" t="n"/>
      <c r="F140" s="69" t="n"/>
      <c r="G140" s="70" t="n"/>
      <c r="H140" s="69" t="n"/>
      <c r="I140" s="71" t="n"/>
      <c r="J140" s="72" t="n"/>
      <c r="K140" s="69" t="n"/>
      <c r="L140" s="69" t="n"/>
      <c r="M140" s="73" t="n"/>
      <c r="N140" s="69" t="n"/>
      <c r="O140" s="69" t="n"/>
      <c r="P140" s="69" t="n"/>
      <c r="Q140" s="69" t="n"/>
      <c r="R140" s="69" t="n"/>
      <c r="S140" s="69" t="n"/>
      <c r="T140" s="74" t="n"/>
      <c r="U140" s="75" t="n"/>
      <c r="V140" s="75" t="n"/>
      <c r="W140" s="76" t="n"/>
    </row>
    <row r="141" ht="13.5" customHeight="1" s="198">
      <c r="A141" s="68" t="n"/>
      <c r="B141" s="68" t="n"/>
      <c r="C141" s="69" t="n"/>
      <c r="D141" s="68" t="n"/>
      <c r="E141" s="69" t="n"/>
      <c r="F141" s="69" t="n"/>
      <c r="G141" s="70" t="n"/>
      <c r="H141" s="69" t="n"/>
      <c r="I141" s="71" t="n"/>
      <c r="J141" s="72" t="n"/>
      <c r="K141" s="69" t="n"/>
      <c r="L141" s="69" t="n"/>
      <c r="M141" s="73" t="n"/>
      <c r="N141" s="69" t="n"/>
      <c r="O141" s="69" t="n"/>
      <c r="P141" s="69" t="n"/>
      <c r="Q141" s="69" t="n"/>
      <c r="R141" s="69" t="n"/>
      <c r="S141" s="69" t="n"/>
      <c r="T141" s="74" t="n"/>
      <c r="U141" s="75" t="n"/>
      <c r="V141" s="75" t="n"/>
      <c r="W141" s="76" t="n"/>
    </row>
    <row r="142" ht="13.5" customHeight="1" s="198">
      <c r="A142" s="68" t="n"/>
      <c r="B142" s="68" t="n"/>
      <c r="C142" s="69" t="n"/>
      <c r="D142" s="68" t="n"/>
      <c r="E142" s="69" t="n"/>
      <c r="F142" s="69" t="n"/>
      <c r="G142" s="70" t="n"/>
      <c r="H142" s="69" t="n"/>
      <c r="I142" s="71" t="n"/>
      <c r="J142" s="72" t="n"/>
      <c r="K142" s="69" t="n"/>
      <c r="L142" s="69" t="n"/>
      <c r="M142" s="73" t="n"/>
      <c r="N142" s="69" t="n"/>
      <c r="O142" s="69" t="n"/>
      <c r="P142" s="69" t="n"/>
      <c r="Q142" s="69" t="n"/>
      <c r="R142" s="69" t="n"/>
      <c r="S142" s="69" t="n"/>
      <c r="T142" s="74" t="n"/>
      <c r="U142" s="75" t="n"/>
      <c r="V142" s="75" t="n"/>
      <c r="W142" s="76" t="n"/>
    </row>
    <row r="143" ht="13.5" customHeight="1" s="198">
      <c r="A143" s="68" t="n"/>
      <c r="B143" s="68" t="n"/>
      <c r="C143" s="69" t="n"/>
      <c r="D143" s="68" t="n"/>
      <c r="E143" s="69" t="n"/>
      <c r="F143" s="69" t="n"/>
      <c r="G143" s="70" t="n"/>
      <c r="H143" s="69" t="n"/>
      <c r="I143" s="71" t="n"/>
      <c r="J143" s="72" t="n"/>
      <c r="K143" s="69" t="n"/>
      <c r="L143" s="69" t="n"/>
      <c r="M143" s="73" t="n"/>
      <c r="N143" s="69" t="n"/>
      <c r="O143" s="69" t="n"/>
      <c r="P143" s="69" t="n"/>
      <c r="Q143" s="69" t="n"/>
      <c r="R143" s="69" t="n"/>
      <c r="S143" s="69" t="n"/>
      <c r="T143" s="74" t="n"/>
      <c r="U143" s="75" t="n"/>
      <c r="V143" s="75" t="n"/>
      <c r="W143" s="76" t="n"/>
    </row>
    <row r="144" ht="15.75" customHeight="1" s="198">
      <c r="A144" s="77" t="n"/>
      <c r="B144" s="77" t="n"/>
      <c r="C144" s="77" t="n"/>
      <c r="D144" s="77" t="n"/>
      <c r="E144" s="77" t="n"/>
      <c r="F144" s="77" t="n"/>
      <c r="G144" s="77" t="n"/>
      <c r="H144" s="77" t="n"/>
      <c r="I144" s="78" t="n"/>
      <c r="J144" s="79" t="n"/>
      <c r="K144" s="77" t="n"/>
      <c r="L144" s="77" t="n"/>
      <c r="M144" s="80" t="n"/>
      <c r="N144" s="77" t="n"/>
      <c r="O144" s="77" t="n"/>
      <c r="P144" s="77" t="n"/>
      <c r="Q144" s="77" t="n"/>
      <c r="R144" s="77" t="n"/>
      <c r="S144" s="77" t="n"/>
      <c r="T144" s="74" t="n"/>
      <c r="U144" s="81" t="n"/>
      <c r="V144" s="81" t="n"/>
      <c r="W144" s="82" t="n"/>
    </row>
    <row r="145" ht="15.75" customHeight="1" s="198">
      <c r="A145" s="77" t="n"/>
      <c r="B145" s="77" t="n"/>
      <c r="C145" s="77" t="n"/>
      <c r="D145" s="77" t="n"/>
      <c r="E145" s="77" t="n"/>
      <c r="F145" s="77" t="n"/>
      <c r="G145" s="77" t="n"/>
      <c r="H145" s="77" t="n"/>
      <c r="I145" s="78" t="n"/>
      <c r="J145" s="79" t="n"/>
      <c r="K145" s="77" t="n"/>
      <c r="L145" s="77" t="n"/>
      <c r="M145" s="80" t="n"/>
      <c r="N145" s="77" t="n"/>
      <c r="O145" s="77" t="n"/>
      <c r="P145" s="77" t="n"/>
      <c r="Q145" s="77" t="n"/>
      <c r="R145" s="77" t="n"/>
      <c r="S145" s="77" t="n"/>
      <c r="T145" s="74" t="n"/>
      <c r="U145" s="81" t="n"/>
      <c r="V145" s="81" t="n"/>
      <c r="W145" s="82" t="n"/>
    </row>
    <row r="146" ht="15.75" customHeight="1" s="198">
      <c r="A146" s="77" t="n"/>
      <c r="B146" s="77" t="n"/>
      <c r="C146" s="77" t="n"/>
      <c r="D146" s="77" t="n"/>
      <c r="E146" s="77" t="n"/>
      <c r="F146" s="77" t="n"/>
      <c r="G146" s="77" t="n"/>
      <c r="H146" s="77" t="n"/>
      <c r="I146" s="78" t="n"/>
      <c r="J146" s="79" t="n"/>
      <c r="K146" s="77" t="n"/>
      <c r="L146" s="77" t="n"/>
      <c r="M146" s="80" t="n"/>
      <c r="N146" s="77" t="n"/>
      <c r="O146" s="77" t="n"/>
      <c r="P146" s="77" t="n"/>
      <c r="Q146" s="77" t="n"/>
      <c r="R146" s="77" t="n"/>
      <c r="S146" s="77" t="n"/>
      <c r="T146" s="74" t="n"/>
      <c r="U146" s="81" t="n"/>
      <c r="V146" s="81" t="n"/>
      <c r="W146" s="82" t="n"/>
    </row>
    <row r="147" ht="15.75" customHeight="1" s="198">
      <c r="A147" s="77" t="n"/>
      <c r="B147" s="77" t="n"/>
      <c r="C147" s="77" t="n"/>
      <c r="D147" s="77" t="n"/>
      <c r="E147" s="77" t="n"/>
      <c r="F147" s="77" t="n"/>
      <c r="G147" s="77" t="n"/>
      <c r="H147" s="77" t="n"/>
      <c r="I147" s="78" t="n"/>
      <c r="J147" s="79" t="n"/>
      <c r="K147" s="77" t="n"/>
      <c r="L147" s="77" t="n"/>
      <c r="M147" s="80" t="n"/>
      <c r="N147" s="77" t="n"/>
      <c r="O147" s="77" t="n"/>
      <c r="P147" s="77" t="n"/>
      <c r="Q147" s="77" t="n"/>
      <c r="R147" s="77" t="n"/>
      <c r="S147" s="77" t="n"/>
      <c r="T147" s="74" t="n"/>
      <c r="U147" s="81" t="n"/>
      <c r="V147" s="81" t="n"/>
      <c r="W147" s="82" t="n"/>
    </row>
    <row r="148" ht="15.75" customHeight="1" s="198">
      <c r="A148" s="77" t="n"/>
      <c r="B148" s="77" t="n"/>
      <c r="C148" s="77" t="n"/>
      <c r="D148" s="77" t="n"/>
      <c r="E148" s="77" t="n"/>
      <c r="F148" s="77" t="n"/>
      <c r="G148" s="77" t="n"/>
      <c r="H148" s="77" t="n"/>
      <c r="I148" s="78" t="n"/>
      <c r="J148" s="79" t="n"/>
      <c r="K148" s="77" t="n"/>
      <c r="L148" s="77" t="n"/>
      <c r="M148" s="80" t="n"/>
      <c r="N148" s="77" t="n"/>
      <c r="O148" s="77" t="n"/>
      <c r="P148" s="77" t="n"/>
      <c r="Q148" s="77" t="n"/>
      <c r="R148" s="77" t="n"/>
      <c r="S148" s="77" t="n"/>
      <c r="T148" s="74" t="n"/>
      <c r="U148" s="81" t="n"/>
      <c r="V148" s="81" t="n"/>
      <c r="W148" s="82" t="n"/>
    </row>
    <row r="149" ht="15.75" customHeight="1" s="198">
      <c r="A149" s="77" t="n"/>
      <c r="B149" s="77" t="n"/>
      <c r="C149" s="77" t="n"/>
      <c r="D149" s="77" t="n"/>
      <c r="E149" s="77" t="n"/>
      <c r="F149" s="77" t="n"/>
      <c r="G149" s="77" t="n"/>
      <c r="H149" s="77" t="n"/>
      <c r="I149" s="78" t="n"/>
      <c r="J149" s="79" t="n"/>
      <c r="K149" s="77" t="n"/>
      <c r="L149" s="77" t="n"/>
      <c r="M149" s="80" t="n"/>
      <c r="N149" s="77" t="n"/>
      <c r="O149" s="77" t="n"/>
      <c r="P149" s="77" t="n"/>
      <c r="Q149" s="77" t="n"/>
      <c r="R149" s="77" t="n"/>
      <c r="S149" s="77" t="n"/>
      <c r="T149" s="74" t="n"/>
      <c r="U149" s="81" t="n"/>
      <c r="V149" s="81" t="n"/>
      <c r="W149" s="82" t="n"/>
    </row>
    <row r="150" ht="15.75" customHeight="1" s="198">
      <c r="A150" s="77" t="n"/>
      <c r="B150" s="77" t="n"/>
      <c r="C150" s="77" t="n"/>
      <c r="D150" s="77" t="n"/>
      <c r="E150" s="77" t="n"/>
      <c r="F150" s="77" t="n"/>
      <c r="G150" s="77" t="n"/>
      <c r="H150" s="77" t="n"/>
      <c r="I150" s="78" t="n"/>
      <c r="J150" s="79" t="n"/>
      <c r="K150" s="77" t="n"/>
      <c r="L150" s="77" t="n"/>
      <c r="M150" s="80" t="n"/>
      <c r="N150" s="77" t="n"/>
      <c r="O150" s="77" t="n"/>
      <c r="P150" s="77" t="n"/>
      <c r="Q150" s="77" t="n"/>
      <c r="R150" s="77" t="n"/>
      <c r="S150" s="77" t="n"/>
      <c r="T150" s="74" t="n"/>
      <c r="U150" s="81" t="n"/>
      <c r="V150" s="81" t="n"/>
      <c r="W150" s="82" t="n"/>
    </row>
    <row r="151" ht="15.75" customHeight="1" s="198">
      <c r="A151" s="77" t="n"/>
      <c r="B151" s="77" t="n"/>
      <c r="C151" s="77" t="n"/>
      <c r="D151" s="77" t="n"/>
      <c r="E151" s="77" t="n"/>
      <c r="F151" s="77" t="n"/>
      <c r="G151" s="77" t="n"/>
      <c r="H151" s="77" t="n"/>
      <c r="I151" s="78" t="n"/>
      <c r="J151" s="79" t="n"/>
      <c r="K151" s="77" t="n"/>
      <c r="L151" s="77" t="n"/>
      <c r="M151" s="80" t="n"/>
      <c r="N151" s="77" t="n"/>
      <c r="O151" s="77" t="n"/>
      <c r="P151" s="77" t="n"/>
      <c r="Q151" s="77" t="n"/>
      <c r="R151" s="77" t="n"/>
      <c r="S151" s="77" t="n"/>
      <c r="T151" s="74" t="n"/>
      <c r="U151" s="81" t="n"/>
      <c r="V151" s="81" t="n"/>
      <c r="W151" s="82" t="n"/>
    </row>
    <row r="152" ht="15.75" customHeight="1" s="198">
      <c r="A152" s="77" t="n"/>
      <c r="B152" s="77" t="n"/>
      <c r="C152" s="77" t="n"/>
      <c r="D152" s="77" t="n"/>
      <c r="E152" s="77" t="n"/>
      <c r="F152" s="77" t="n"/>
      <c r="G152" s="77" t="n"/>
      <c r="H152" s="77" t="n"/>
      <c r="I152" s="78" t="n"/>
      <c r="J152" s="79" t="n"/>
      <c r="K152" s="77" t="n"/>
      <c r="L152" s="77" t="n"/>
      <c r="M152" s="80" t="n"/>
      <c r="N152" s="77" t="n"/>
      <c r="O152" s="77" t="n"/>
      <c r="P152" s="77" t="n"/>
      <c r="Q152" s="77" t="n"/>
      <c r="R152" s="77" t="n"/>
      <c r="S152" s="77" t="n"/>
      <c r="T152" s="74" t="n"/>
      <c r="U152" s="81" t="n"/>
      <c r="V152" s="81" t="n"/>
      <c r="W152" s="82" t="n"/>
    </row>
    <row r="153" ht="15.75" customHeight="1" s="198">
      <c r="A153" s="77" t="n"/>
      <c r="B153" s="77" t="n"/>
      <c r="C153" s="77" t="n"/>
      <c r="D153" s="77" t="n"/>
      <c r="E153" s="77" t="n"/>
      <c r="F153" s="77" t="n"/>
      <c r="G153" s="77" t="n"/>
      <c r="H153" s="77" t="n"/>
      <c r="I153" s="78" t="n"/>
      <c r="J153" s="79" t="n"/>
      <c r="K153" s="77" t="n"/>
      <c r="L153" s="77" t="n"/>
      <c r="M153" s="80" t="n"/>
      <c r="N153" s="77" t="n"/>
      <c r="O153" s="77" t="n"/>
      <c r="P153" s="77" t="n"/>
      <c r="Q153" s="77" t="n"/>
      <c r="R153" s="77" t="n"/>
      <c r="S153" s="77" t="n"/>
      <c r="T153" s="74" t="n"/>
      <c r="U153" s="81" t="n"/>
      <c r="V153" s="81" t="n"/>
      <c r="W153" s="82" t="n"/>
    </row>
    <row r="154" ht="15.75" customHeight="1" s="198">
      <c r="A154" s="77" t="n"/>
      <c r="B154" s="77" t="n"/>
      <c r="C154" s="77" t="n"/>
      <c r="D154" s="77" t="n"/>
      <c r="E154" s="77" t="n"/>
      <c r="F154" s="77" t="n"/>
      <c r="G154" s="77" t="n"/>
      <c r="H154" s="77" t="n"/>
      <c r="I154" s="78" t="n"/>
      <c r="J154" s="79" t="n"/>
      <c r="K154" s="77" t="n"/>
      <c r="L154" s="77" t="n"/>
      <c r="M154" s="80" t="n"/>
      <c r="N154" s="77" t="n"/>
      <c r="O154" s="77" t="n"/>
      <c r="P154" s="77" t="n"/>
      <c r="Q154" s="77" t="n"/>
      <c r="R154" s="77" t="n"/>
      <c r="S154" s="77" t="n"/>
      <c r="T154" s="74" t="n"/>
      <c r="U154" s="81" t="n"/>
      <c r="V154" s="81" t="n"/>
      <c r="W154" s="82" t="n"/>
    </row>
    <row r="155" ht="15.75" customHeight="1" s="198">
      <c r="A155" s="77" t="n"/>
      <c r="B155" s="77" t="n"/>
      <c r="C155" s="77" t="n"/>
      <c r="D155" s="77" t="n"/>
      <c r="E155" s="77" t="n"/>
      <c r="F155" s="77" t="n"/>
      <c r="G155" s="77" t="n"/>
      <c r="H155" s="77" t="n"/>
      <c r="I155" s="78" t="n"/>
      <c r="J155" s="79" t="n"/>
      <c r="K155" s="77" t="n"/>
      <c r="L155" s="77" t="n"/>
      <c r="M155" s="80" t="n"/>
      <c r="N155" s="77" t="n"/>
      <c r="O155" s="77" t="n"/>
      <c r="P155" s="77" t="n"/>
      <c r="Q155" s="77" t="n"/>
      <c r="R155" s="77" t="n"/>
      <c r="S155" s="77" t="n"/>
      <c r="T155" s="74" t="n"/>
      <c r="U155" s="81" t="n"/>
      <c r="V155" s="81" t="n"/>
      <c r="W155" s="82" t="n"/>
    </row>
    <row r="156" ht="15.75" customHeight="1" s="198">
      <c r="A156" s="77" t="n"/>
      <c r="B156" s="77" t="n"/>
      <c r="C156" s="77" t="n"/>
      <c r="D156" s="77" t="n"/>
      <c r="E156" s="77" t="n"/>
      <c r="F156" s="77" t="n"/>
      <c r="G156" s="77" t="n"/>
      <c r="H156" s="77" t="n"/>
      <c r="I156" s="78" t="n"/>
      <c r="J156" s="79" t="n"/>
      <c r="K156" s="77" t="n"/>
      <c r="L156" s="77" t="n"/>
      <c r="M156" s="80" t="n"/>
      <c r="N156" s="77" t="n"/>
      <c r="O156" s="77" t="n"/>
      <c r="P156" s="77" t="n"/>
      <c r="Q156" s="77" t="n"/>
      <c r="R156" s="77" t="n"/>
      <c r="S156" s="77" t="n"/>
      <c r="T156" s="74" t="n"/>
      <c r="U156" s="81" t="n"/>
      <c r="V156" s="81" t="n"/>
      <c r="W156" s="82" t="n"/>
    </row>
    <row r="157" ht="15.75" customHeight="1" s="198">
      <c r="A157" s="77" t="n"/>
      <c r="B157" s="77" t="n"/>
      <c r="C157" s="77" t="n"/>
      <c r="D157" s="77" t="n"/>
      <c r="E157" s="77" t="n"/>
      <c r="F157" s="77" t="n"/>
      <c r="G157" s="77" t="n"/>
      <c r="H157" s="77" t="n"/>
      <c r="I157" s="78" t="n"/>
      <c r="J157" s="79" t="n"/>
      <c r="K157" s="77" t="n"/>
      <c r="L157" s="77" t="n"/>
      <c r="M157" s="80" t="n"/>
      <c r="N157" s="77" t="n"/>
      <c r="O157" s="77" t="n"/>
      <c r="P157" s="77" t="n"/>
      <c r="Q157" s="77" t="n"/>
      <c r="R157" s="77" t="n"/>
      <c r="S157" s="77" t="n"/>
      <c r="T157" s="74" t="n"/>
      <c r="U157" s="81" t="n"/>
      <c r="V157" s="81" t="n"/>
      <c r="W157" s="82" t="n"/>
    </row>
    <row r="158" ht="15.75" customHeight="1" s="198">
      <c r="A158" s="77" t="n"/>
      <c r="B158" s="77" t="n"/>
      <c r="C158" s="77" t="n"/>
      <c r="D158" s="77" t="n"/>
      <c r="E158" s="77" t="n"/>
      <c r="F158" s="77" t="n"/>
      <c r="G158" s="77" t="n"/>
      <c r="H158" s="77" t="n"/>
      <c r="I158" s="78" t="n"/>
      <c r="J158" s="79" t="n"/>
      <c r="K158" s="77" t="n"/>
      <c r="L158" s="77" t="n"/>
      <c r="M158" s="80" t="n"/>
      <c r="N158" s="77" t="n"/>
      <c r="O158" s="77" t="n"/>
      <c r="P158" s="77" t="n"/>
      <c r="Q158" s="77" t="n"/>
      <c r="R158" s="77" t="n"/>
      <c r="S158" s="77" t="n"/>
      <c r="T158" s="74" t="n"/>
      <c r="U158" s="81" t="n"/>
      <c r="V158" s="81" t="n"/>
      <c r="W158" s="82" t="n"/>
    </row>
    <row r="159" ht="15.75" customHeight="1" s="198">
      <c r="A159" s="77" t="n"/>
      <c r="B159" s="77" t="n"/>
      <c r="C159" s="77" t="n"/>
      <c r="D159" s="77" t="n"/>
      <c r="E159" s="77" t="n"/>
      <c r="F159" s="77" t="n"/>
      <c r="G159" s="77" t="n"/>
      <c r="H159" s="77" t="n"/>
      <c r="I159" s="78" t="n"/>
      <c r="J159" s="79" t="n"/>
      <c r="K159" s="77" t="n"/>
      <c r="L159" s="77" t="n"/>
      <c r="M159" s="80" t="n"/>
      <c r="N159" s="77" t="n"/>
      <c r="O159" s="77" t="n"/>
      <c r="P159" s="77" t="n"/>
      <c r="Q159" s="77" t="n"/>
      <c r="R159" s="77" t="n"/>
      <c r="S159" s="77" t="n"/>
      <c r="T159" s="74" t="n"/>
      <c r="U159" s="81" t="n"/>
      <c r="V159" s="81" t="n"/>
      <c r="W159" s="82" t="n"/>
    </row>
    <row r="160" ht="15.75" customHeight="1" s="198">
      <c r="A160" s="77" t="n"/>
      <c r="B160" s="77" t="n"/>
      <c r="C160" s="77" t="n"/>
      <c r="D160" s="77" t="n"/>
      <c r="E160" s="77" t="n"/>
      <c r="F160" s="77" t="n"/>
      <c r="G160" s="77" t="n"/>
      <c r="H160" s="77" t="n"/>
      <c r="I160" s="78" t="n"/>
      <c r="J160" s="79" t="n"/>
      <c r="K160" s="77" t="n"/>
      <c r="L160" s="77" t="n"/>
      <c r="M160" s="80" t="n"/>
      <c r="N160" s="77" t="n"/>
      <c r="O160" s="77" t="n"/>
      <c r="P160" s="77" t="n"/>
      <c r="Q160" s="77" t="n"/>
      <c r="R160" s="77" t="n"/>
      <c r="S160" s="77" t="n"/>
      <c r="T160" s="74" t="n"/>
      <c r="U160" s="81" t="n"/>
      <c r="V160" s="81" t="n"/>
      <c r="W160" s="82" t="n"/>
    </row>
    <row r="161" ht="15.75" customHeight="1" s="198">
      <c r="A161" s="77" t="n"/>
      <c r="B161" s="77" t="n"/>
      <c r="C161" s="77" t="n"/>
      <c r="D161" s="77" t="n"/>
      <c r="E161" s="77" t="n"/>
      <c r="F161" s="77" t="n"/>
      <c r="G161" s="77" t="n"/>
      <c r="H161" s="77" t="n"/>
      <c r="I161" s="78" t="n"/>
      <c r="J161" s="79" t="n"/>
      <c r="K161" s="77" t="n"/>
      <c r="L161" s="77" t="n"/>
      <c r="M161" s="80" t="n"/>
      <c r="N161" s="77" t="n"/>
      <c r="O161" s="77" t="n"/>
      <c r="P161" s="77" t="n"/>
      <c r="Q161" s="77" t="n"/>
      <c r="R161" s="77" t="n"/>
      <c r="S161" s="77" t="n"/>
      <c r="T161" s="74" t="n"/>
      <c r="U161" s="81" t="n"/>
      <c r="V161" s="81" t="n"/>
      <c r="W161" s="82" t="n"/>
    </row>
    <row r="162" ht="15.75" customHeight="1" s="198">
      <c r="A162" s="77" t="n"/>
      <c r="B162" s="77" t="n"/>
      <c r="C162" s="77" t="n"/>
      <c r="D162" s="77" t="n"/>
      <c r="E162" s="77" t="n"/>
      <c r="F162" s="77" t="n"/>
      <c r="G162" s="77" t="n"/>
      <c r="H162" s="77" t="n"/>
      <c r="I162" s="78" t="n"/>
      <c r="J162" s="79" t="n"/>
      <c r="K162" s="77" t="n"/>
      <c r="L162" s="77" t="n"/>
      <c r="M162" s="80" t="n"/>
      <c r="N162" s="77" t="n"/>
      <c r="O162" s="77" t="n"/>
      <c r="P162" s="77" t="n"/>
      <c r="Q162" s="77" t="n"/>
      <c r="R162" s="77" t="n"/>
      <c r="S162" s="77" t="n"/>
      <c r="T162" s="74" t="n"/>
      <c r="U162" s="81" t="n"/>
      <c r="V162" s="81" t="n"/>
      <c r="W162" s="82" t="n"/>
    </row>
    <row r="163" ht="15.75" customHeight="1" s="198">
      <c r="A163" s="77" t="n"/>
      <c r="B163" s="77" t="n"/>
      <c r="C163" s="77" t="n"/>
      <c r="D163" s="77" t="n"/>
      <c r="E163" s="77" t="n"/>
      <c r="F163" s="77" t="n"/>
      <c r="G163" s="77" t="n"/>
      <c r="H163" s="77" t="n"/>
      <c r="I163" s="78" t="n"/>
      <c r="J163" s="79" t="n"/>
      <c r="K163" s="77" t="n"/>
      <c r="L163" s="77" t="n"/>
      <c r="M163" s="80" t="n"/>
      <c r="N163" s="77" t="n"/>
      <c r="O163" s="77" t="n"/>
      <c r="P163" s="77" t="n"/>
      <c r="Q163" s="77" t="n"/>
      <c r="R163" s="77" t="n"/>
      <c r="S163" s="77" t="n"/>
      <c r="T163" s="74" t="n"/>
      <c r="U163" s="81" t="n"/>
      <c r="V163" s="81" t="n"/>
      <c r="W163" s="82" t="n"/>
    </row>
    <row r="164" ht="15.75" customHeight="1" s="198">
      <c r="A164" s="77" t="n"/>
      <c r="B164" s="77" t="n"/>
      <c r="C164" s="77" t="n"/>
      <c r="D164" s="77" t="n"/>
      <c r="E164" s="77" t="n"/>
      <c r="F164" s="77" t="n"/>
      <c r="G164" s="77" t="n"/>
      <c r="H164" s="77" t="n"/>
      <c r="I164" s="78" t="n"/>
      <c r="J164" s="79" t="n"/>
      <c r="K164" s="77" t="n"/>
      <c r="L164" s="77" t="n"/>
      <c r="M164" s="80" t="n"/>
      <c r="N164" s="77" t="n"/>
      <c r="O164" s="77" t="n"/>
      <c r="P164" s="77" t="n"/>
      <c r="Q164" s="77" t="n"/>
      <c r="R164" s="77" t="n"/>
      <c r="S164" s="77" t="n"/>
      <c r="T164" s="74" t="n"/>
      <c r="U164" s="81" t="n"/>
      <c r="V164" s="81" t="n"/>
      <c r="W164" s="82" t="n"/>
    </row>
    <row r="165" ht="15.75" customHeight="1" s="198">
      <c r="A165" s="77" t="n"/>
      <c r="B165" s="77" t="n"/>
      <c r="C165" s="77" t="n"/>
      <c r="D165" s="77" t="n"/>
      <c r="E165" s="77" t="n"/>
      <c r="F165" s="77" t="n"/>
      <c r="G165" s="77" t="n"/>
      <c r="H165" s="77" t="n"/>
      <c r="I165" s="78" t="n"/>
      <c r="J165" s="79" t="n"/>
      <c r="K165" s="77" t="n"/>
      <c r="L165" s="77" t="n"/>
      <c r="M165" s="80" t="n"/>
      <c r="N165" s="77" t="n"/>
      <c r="O165" s="77" t="n"/>
      <c r="P165" s="77" t="n"/>
      <c r="Q165" s="77" t="n"/>
      <c r="R165" s="77" t="n"/>
      <c r="S165" s="77" t="n"/>
      <c r="T165" s="74" t="n"/>
      <c r="U165" s="81" t="n"/>
      <c r="V165" s="81" t="n"/>
      <c r="W165" s="82" t="n"/>
    </row>
    <row r="166" ht="15.75" customHeight="1" s="198">
      <c r="A166" s="77" t="n"/>
      <c r="B166" s="77" t="n"/>
      <c r="C166" s="77" t="n"/>
      <c r="D166" s="77" t="n"/>
      <c r="E166" s="77" t="n"/>
      <c r="F166" s="77" t="n"/>
      <c r="G166" s="77" t="n"/>
      <c r="H166" s="77" t="n"/>
      <c r="I166" s="78" t="n"/>
      <c r="J166" s="79" t="n"/>
      <c r="K166" s="77" t="n"/>
      <c r="L166" s="77" t="n"/>
      <c r="M166" s="80" t="n"/>
      <c r="N166" s="77" t="n"/>
      <c r="O166" s="77" t="n"/>
      <c r="P166" s="77" t="n"/>
      <c r="Q166" s="77" t="n"/>
      <c r="R166" s="77" t="n"/>
      <c r="S166" s="77" t="n"/>
      <c r="T166" s="74" t="n"/>
      <c r="U166" s="81" t="n"/>
      <c r="V166" s="81" t="n"/>
      <c r="W166" s="82" t="n"/>
    </row>
    <row r="167" ht="15.75" customHeight="1" s="198">
      <c r="A167" s="77" t="n"/>
      <c r="B167" s="77" t="n"/>
      <c r="C167" s="77" t="n"/>
      <c r="D167" s="77" t="n"/>
      <c r="E167" s="77" t="n"/>
      <c r="F167" s="77" t="n"/>
      <c r="G167" s="77" t="n"/>
      <c r="H167" s="77" t="n"/>
      <c r="I167" s="78" t="n"/>
      <c r="J167" s="79" t="n"/>
      <c r="K167" s="77" t="n"/>
      <c r="L167" s="77" t="n"/>
      <c r="M167" s="80" t="n"/>
      <c r="N167" s="77" t="n"/>
      <c r="O167" s="77" t="n"/>
      <c r="P167" s="77" t="n"/>
      <c r="Q167" s="77" t="n"/>
      <c r="R167" s="77" t="n"/>
      <c r="S167" s="77" t="n"/>
      <c r="T167" s="74" t="n"/>
      <c r="U167" s="81" t="n"/>
      <c r="V167" s="81" t="n"/>
      <c r="W167" s="82" t="n"/>
    </row>
    <row r="168" ht="15.75" customHeight="1" s="198">
      <c r="A168" s="77" t="n"/>
      <c r="B168" s="77" t="n"/>
      <c r="C168" s="77" t="n"/>
      <c r="D168" s="77" t="n"/>
      <c r="E168" s="77" t="n"/>
      <c r="F168" s="77" t="n"/>
      <c r="G168" s="77" t="n"/>
      <c r="H168" s="77" t="n"/>
      <c r="I168" s="78" t="n"/>
      <c r="J168" s="79" t="n"/>
      <c r="K168" s="77" t="n"/>
      <c r="L168" s="77" t="n"/>
      <c r="M168" s="80" t="n"/>
      <c r="N168" s="77" t="n"/>
      <c r="O168" s="77" t="n"/>
      <c r="P168" s="77" t="n"/>
      <c r="Q168" s="77" t="n"/>
      <c r="R168" s="77" t="n"/>
      <c r="S168" s="77" t="n"/>
      <c r="T168" s="74" t="n"/>
      <c r="U168" s="81" t="n"/>
      <c r="V168" s="81" t="n"/>
      <c r="W168" s="82" t="n"/>
    </row>
    <row r="169" ht="15.75" customHeight="1" s="198">
      <c r="A169" s="77" t="n"/>
      <c r="B169" s="77" t="n"/>
      <c r="C169" s="77" t="n"/>
      <c r="D169" s="77" t="n"/>
      <c r="E169" s="77" t="n"/>
      <c r="F169" s="77" t="n"/>
      <c r="G169" s="77" t="n"/>
      <c r="H169" s="77" t="n"/>
      <c r="I169" s="78" t="n"/>
      <c r="J169" s="79" t="n"/>
      <c r="K169" s="77" t="n"/>
      <c r="L169" s="77" t="n"/>
      <c r="M169" s="80" t="n"/>
      <c r="N169" s="77" t="n"/>
      <c r="O169" s="77" t="n"/>
      <c r="P169" s="77" t="n"/>
      <c r="Q169" s="77" t="n"/>
      <c r="R169" s="77" t="n"/>
      <c r="S169" s="77" t="n"/>
      <c r="T169" s="74" t="n"/>
      <c r="U169" s="81" t="n"/>
      <c r="V169" s="81" t="n"/>
      <c r="W169" s="82" t="n"/>
    </row>
    <row r="170" ht="15.75" customHeight="1" s="198">
      <c r="A170" s="77" t="n"/>
      <c r="B170" s="77" t="n"/>
      <c r="C170" s="77" t="n"/>
      <c r="D170" s="77" t="n"/>
      <c r="E170" s="77" t="n"/>
      <c r="F170" s="77" t="n"/>
      <c r="G170" s="77" t="n"/>
      <c r="H170" s="77" t="n"/>
      <c r="I170" s="78" t="n"/>
      <c r="J170" s="79" t="n"/>
      <c r="K170" s="77" t="n"/>
      <c r="L170" s="77" t="n"/>
      <c r="M170" s="80" t="n"/>
      <c r="N170" s="77" t="n"/>
      <c r="O170" s="77" t="n"/>
      <c r="P170" s="77" t="n"/>
      <c r="Q170" s="77" t="n"/>
      <c r="R170" s="77" t="n"/>
      <c r="S170" s="77" t="n"/>
      <c r="T170" s="74" t="n"/>
      <c r="U170" s="81" t="n"/>
      <c r="V170" s="81" t="n"/>
      <c r="W170" s="82" t="n"/>
    </row>
    <row r="171" ht="15.75" customHeight="1" s="198">
      <c r="A171" s="77" t="n"/>
      <c r="B171" s="77" t="n"/>
      <c r="C171" s="77" t="n"/>
      <c r="D171" s="77" t="n"/>
      <c r="E171" s="77" t="n"/>
      <c r="F171" s="77" t="n"/>
      <c r="G171" s="77" t="n"/>
      <c r="H171" s="77" t="n"/>
      <c r="I171" s="78" t="n"/>
      <c r="J171" s="79" t="n"/>
      <c r="K171" s="77" t="n"/>
      <c r="L171" s="77" t="n"/>
      <c r="M171" s="80" t="n"/>
      <c r="N171" s="77" t="n"/>
      <c r="O171" s="77" t="n"/>
      <c r="P171" s="77" t="n"/>
      <c r="Q171" s="77" t="n"/>
      <c r="R171" s="77" t="n"/>
      <c r="S171" s="77" t="n"/>
      <c r="T171" s="74" t="n"/>
      <c r="U171" s="81" t="n"/>
      <c r="V171" s="81" t="n"/>
      <c r="W171" s="82" t="n"/>
    </row>
    <row r="172" ht="15.75" customHeight="1" s="198">
      <c r="A172" s="77" t="n"/>
      <c r="B172" s="77" t="n"/>
      <c r="C172" s="77" t="n"/>
      <c r="D172" s="77" t="n"/>
      <c r="E172" s="77" t="n"/>
      <c r="F172" s="77" t="n"/>
      <c r="G172" s="77" t="n"/>
      <c r="H172" s="77" t="n"/>
      <c r="I172" s="78" t="n"/>
      <c r="J172" s="79" t="n"/>
      <c r="K172" s="77" t="n"/>
      <c r="L172" s="77" t="n"/>
      <c r="M172" s="80" t="n"/>
      <c r="N172" s="77" t="n"/>
      <c r="O172" s="77" t="n"/>
      <c r="P172" s="77" t="n"/>
      <c r="Q172" s="77" t="n"/>
      <c r="R172" s="77" t="n"/>
      <c r="S172" s="77" t="n"/>
      <c r="T172" s="74" t="n"/>
      <c r="U172" s="81" t="n"/>
      <c r="V172" s="81" t="n"/>
      <c r="W172" s="82" t="n"/>
    </row>
    <row r="173" ht="15.75" customHeight="1" s="198">
      <c r="A173" s="77" t="n"/>
      <c r="B173" s="77" t="n"/>
      <c r="C173" s="77" t="n"/>
      <c r="D173" s="77" t="n"/>
      <c r="E173" s="77" t="n"/>
      <c r="F173" s="77" t="n"/>
      <c r="G173" s="77" t="n"/>
      <c r="H173" s="77" t="n"/>
      <c r="I173" s="78" t="n"/>
      <c r="J173" s="79" t="n"/>
      <c r="K173" s="77" t="n"/>
      <c r="L173" s="77" t="n"/>
      <c r="M173" s="80" t="n"/>
      <c r="N173" s="77" t="n"/>
      <c r="O173" s="77" t="n"/>
      <c r="P173" s="77" t="n"/>
      <c r="Q173" s="77" t="n"/>
      <c r="R173" s="77" t="n"/>
      <c r="S173" s="77" t="n"/>
      <c r="T173" s="74" t="n"/>
      <c r="U173" s="81" t="n"/>
      <c r="V173" s="81" t="n"/>
      <c r="W173" s="82" t="n"/>
    </row>
    <row r="174" ht="15.75" customHeight="1" s="198">
      <c r="A174" s="77" t="n"/>
      <c r="B174" s="77" t="n"/>
      <c r="C174" s="77" t="n"/>
      <c r="D174" s="77" t="n"/>
      <c r="E174" s="77" t="n"/>
      <c r="F174" s="77" t="n"/>
      <c r="G174" s="77" t="n"/>
      <c r="H174" s="77" t="n"/>
      <c r="I174" s="78" t="n"/>
      <c r="J174" s="79" t="n"/>
      <c r="K174" s="77" t="n"/>
      <c r="L174" s="77" t="n"/>
      <c r="M174" s="80" t="n"/>
      <c r="N174" s="77" t="n"/>
      <c r="O174" s="77" t="n"/>
      <c r="P174" s="77" t="n"/>
      <c r="Q174" s="77" t="n"/>
      <c r="R174" s="77" t="n"/>
      <c r="S174" s="77" t="n"/>
      <c r="T174" s="74" t="n"/>
      <c r="U174" s="81" t="n"/>
      <c r="V174" s="81" t="n"/>
      <c r="W174" s="82" t="n"/>
    </row>
    <row r="175" ht="15.75" customHeight="1" s="198">
      <c r="A175" s="77" t="n"/>
      <c r="B175" s="77" t="n"/>
      <c r="C175" s="77" t="n"/>
      <c r="D175" s="77" t="n"/>
      <c r="E175" s="77" t="n"/>
      <c r="F175" s="77" t="n"/>
      <c r="G175" s="77" t="n"/>
      <c r="H175" s="77" t="n"/>
      <c r="I175" s="78" t="n"/>
      <c r="J175" s="79" t="n"/>
      <c r="K175" s="77" t="n"/>
      <c r="L175" s="77" t="n"/>
      <c r="M175" s="80" t="n"/>
      <c r="N175" s="77" t="n"/>
      <c r="O175" s="77" t="n"/>
      <c r="P175" s="77" t="n"/>
      <c r="Q175" s="77" t="n"/>
      <c r="R175" s="77" t="n"/>
      <c r="S175" s="77" t="n"/>
      <c r="T175" s="74" t="n"/>
      <c r="U175" s="81" t="n"/>
      <c r="V175" s="81" t="n"/>
      <c r="W175" s="82" t="n"/>
    </row>
    <row r="176" ht="15.75" customHeight="1" s="198">
      <c r="A176" s="77" t="n"/>
      <c r="B176" s="77" t="n"/>
      <c r="C176" s="77" t="n"/>
      <c r="D176" s="77" t="n"/>
      <c r="E176" s="77" t="n"/>
      <c r="F176" s="77" t="n"/>
      <c r="G176" s="77" t="n"/>
      <c r="H176" s="77" t="n"/>
      <c r="I176" s="78" t="n"/>
      <c r="J176" s="79" t="n"/>
      <c r="K176" s="77" t="n"/>
      <c r="L176" s="77" t="n"/>
      <c r="M176" s="80" t="n"/>
      <c r="N176" s="77" t="n"/>
      <c r="O176" s="77" t="n"/>
      <c r="P176" s="77" t="n"/>
      <c r="Q176" s="77" t="n"/>
      <c r="R176" s="77" t="n"/>
      <c r="S176" s="77" t="n"/>
      <c r="T176" s="74" t="n"/>
      <c r="U176" s="81" t="n"/>
      <c r="V176" s="81" t="n"/>
      <c r="W176" s="82" t="n"/>
    </row>
    <row r="177" ht="15.75" customHeight="1" s="198">
      <c r="A177" s="77" t="n"/>
      <c r="B177" s="77" t="n"/>
      <c r="C177" s="77" t="n"/>
      <c r="D177" s="77" t="n"/>
      <c r="E177" s="77" t="n"/>
      <c r="F177" s="77" t="n"/>
      <c r="G177" s="77" t="n"/>
      <c r="H177" s="77" t="n"/>
      <c r="I177" s="78" t="n"/>
      <c r="J177" s="79" t="n"/>
      <c r="K177" s="77" t="n"/>
      <c r="L177" s="77" t="n"/>
      <c r="M177" s="80" t="n"/>
      <c r="N177" s="77" t="n"/>
      <c r="O177" s="77" t="n"/>
      <c r="P177" s="77" t="n"/>
      <c r="Q177" s="77" t="n"/>
      <c r="R177" s="77" t="n"/>
      <c r="S177" s="77" t="n"/>
      <c r="T177" s="74" t="n"/>
      <c r="U177" s="81" t="n"/>
      <c r="V177" s="81" t="n"/>
      <c r="W177" s="82" t="n"/>
    </row>
    <row r="178" ht="15.75" customHeight="1" s="198">
      <c r="A178" s="77" t="n"/>
      <c r="B178" s="77" t="n"/>
      <c r="C178" s="77" t="n"/>
      <c r="D178" s="77" t="n"/>
      <c r="E178" s="77" t="n"/>
      <c r="F178" s="77" t="n"/>
      <c r="G178" s="77" t="n"/>
      <c r="H178" s="77" t="n"/>
      <c r="I178" s="78" t="n"/>
      <c r="J178" s="79" t="n"/>
      <c r="K178" s="77" t="n"/>
      <c r="L178" s="77" t="n"/>
      <c r="M178" s="80" t="n"/>
      <c r="N178" s="77" t="n"/>
      <c r="O178" s="77" t="n"/>
      <c r="P178" s="77" t="n"/>
      <c r="Q178" s="77" t="n"/>
      <c r="R178" s="77" t="n"/>
      <c r="S178" s="77" t="n"/>
      <c r="T178" s="74" t="n"/>
      <c r="U178" s="81" t="n"/>
      <c r="V178" s="81" t="n"/>
      <c r="W178" s="82" t="n"/>
    </row>
    <row r="179" ht="15.75" customHeight="1" s="198">
      <c r="A179" s="77" t="n"/>
      <c r="B179" s="77" t="n"/>
      <c r="C179" s="77" t="n"/>
      <c r="D179" s="77" t="n"/>
      <c r="E179" s="77" t="n"/>
      <c r="F179" s="77" t="n"/>
      <c r="G179" s="77" t="n"/>
      <c r="H179" s="77" t="n"/>
      <c r="I179" s="78" t="n"/>
      <c r="J179" s="79" t="n"/>
      <c r="K179" s="77" t="n"/>
      <c r="L179" s="77" t="n"/>
      <c r="M179" s="80" t="n"/>
      <c r="N179" s="77" t="n"/>
      <c r="O179" s="77" t="n"/>
      <c r="P179" s="77" t="n"/>
      <c r="Q179" s="77" t="n"/>
      <c r="R179" s="77" t="n"/>
      <c r="S179" s="77" t="n"/>
      <c r="T179" s="74" t="n"/>
      <c r="U179" s="81" t="n"/>
      <c r="V179" s="81" t="n"/>
      <c r="W179" s="82" t="n"/>
    </row>
    <row r="180" ht="15.75" customHeight="1" s="198">
      <c r="A180" s="77" t="n"/>
      <c r="B180" s="77" t="n"/>
      <c r="C180" s="77" t="n"/>
      <c r="D180" s="77" t="n"/>
      <c r="E180" s="77" t="n"/>
      <c r="F180" s="77" t="n"/>
      <c r="G180" s="77" t="n"/>
      <c r="H180" s="77" t="n"/>
      <c r="I180" s="78" t="n"/>
      <c r="J180" s="79" t="n"/>
      <c r="K180" s="77" t="n"/>
      <c r="L180" s="77" t="n"/>
      <c r="M180" s="80" t="n"/>
      <c r="N180" s="77" t="n"/>
      <c r="O180" s="77" t="n"/>
      <c r="P180" s="77" t="n"/>
      <c r="Q180" s="77" t="n"/>
      <c r="R180" s="77" t="n"/>
      <c r="S180" s="77" t="n"/>
      <c r="T180" s="74" t="n"/>
      <c r="U180" s="81" t="n"/>
      <c r="V180" s="81" t="n"/>
      <c r="W180" s="82" t="n"/>
    </row>
    <row r="181" ht="15.75" customHeight="1" s="198">
      <c r="A181" s="77" t="n"/>
      <c r="B181" s="77" t="n"/>
      <c r="C181" s="77" t="n"/>
      <c r="D181" s="77" t="n"/>
      <c r="E181" s="77" t="n"/>
      <c r="F181" s="77" t="n"/>
      <c r="G181" s="77" t="n"/>
      <c r="H181" s="77" t="n"/>
      <c r="I181" s="78" t="n"/>
      <c r="J181" s="79" t="n"/>
      <c r="K181" s="77" t="n"/>
      <c r="L181" s="77" t="n"/>
      <c r="M181" s="80" t="n"/>
      <c r="N181" s="77" t="n"/>
      <c r="O181" s="77" t="n"/>
      <c r="P181" s="77" t="n"/>
      <c r="Q181" s="77" t="n"/>
      <c r="R181" s="77" t="n"/>
      <c r="S181" s="77" t="n"/>
      <c r="T181" s="74" t="n"/>
      <c r="U181" s="81" t="n"/>
      <c r="V181" s="81" t="n"/>
      <c r="W181" s="82" t="n"/>
    </row>
    <row r="182" ht="15.75" customHeight="1" s="198">
      <c r="A182" s="77" t="n"/>
      <c r="B182" s="77" t="n"/>
      <c r="C182" s="77" t="n"/>
      <c r="D182" s="77" t="n"/>
      <c r="E182" s="77" t="n"/>
      <c r="F182" s="77" t="n"/>
      <c r="G182" s="77" t="n"/>
      <c r="H182" s="77" t="n"/>
      <c r="I182" s="78" t="n"/>
      <c r="J182" s="79" t="n"/>
      <c r="K182" s="77" t="n"/>
      <c r="L182" s="77" t="n"/>
      <c r="M182" s="80" t="n"/>
      <c r="N182" s="77" t="n"/>
      <c r="O182" s="77" t="n"/>
      <c r="P182" s="77" t="n"/>
      <c r="Q182" s="77" t="n"/>
      <c r="R182" s="77" t="n"/>
      <c r="S182" s="77" t="n"/>
      <c r="T182" s="74" t="n"/>
      <c r="U182" s="81" t="n"/>
      <c r="V182" s="81" t="n"/>
      <c r="W182" s="82" t="n"/>
    </row>
    <row r="183" ht="15.75" customHeight="1" s="198">
      <c r="A183" s="77" t="n"/>
      <c r="B183" s="77" t="n"/>
      <c r="C183" s="77" t="n"/>
      <c r="D183" s="77" t="n"/>
      <c r="E183" s="77" t="n"/>
      <c r="F183" s="77" t="n"/>
      <c r="G183" s="77" t="n"/>
      <c r="H183" s="77" t="n"/>
      <c r="I183" s="78" t="n"/>
      <c r="J183" s="79" t="n"/>
      <c r="K183" s="77" t="n"/>
      <c r="L183" s="77" t="n"/>
      <c r="M183" s="80" t="n"/>
      <c r="N183" s="77" t="n"/>
      <c r="O183" s="77" t="n"/>
      <c r="P183" s="77" t="n"/>
      <c r="Q183" s="77" t="n"/>
      <c r="R183" s="77" t="n"/>
      <c r="S183" s="77" t="n"/>
      <c r="T183" s="74" t="n"/>
      <c r="U183" s="81" t="n"/>
      <c r="V183" s="81" t="n"/>
      <c r="W183" s="82" t="n"/>
    </row>
    <row r="184" ht="15.75" customHeight="1" s="198">
      <c r="A184" s="77" t="n"/>
      <c r="B184" s="77" t="n"/>
      <c r="C184" s="77" t="n"/>
      <c r="D184" s="77" t="n"/>
      <c r="E184" s="77" t="n"/>
      <c r="F184" s="77" t="n"/>
      <c r="G184" s="77" t="n"/>
      <c r="H184" s="77" t="n"/>
      <c r="I184" s="78" t="n"/>
      <c r="J184" s="79" t="n"/>
      <c r="K184" s="77" t="n"/>
      <c r="L184" s="77" t="n"/>
      <c r="M184" s="80" t="n"/>
      <c r="N184" s="77" t="n"/>
      <c r="O184" s="77" t="n"/>
      <c r="P184" s="77" t="n"/>
      <c r="Q184" s="77" t="n"/>
      <c r="R184" s="77" t="n"/>
      <c r="S184" s="77" t="n"/>
      <c r="T184" s="74" t="n"/>
      <c r="U184" s="81" t="n"/>
      <c r="V184" s="81" t="n"/>
      <c r="W184" s="82" t="n"/>
    </row>
    <row r="185" ht="15.75" customHeight="1" s="198">
      <c r="A185" s="77" t="n"/>
      <c r="B185" s="77" t="n"/>
      <c r="C185" s="77" t="n"/>
      <c r="D185" s="77" t="n"/>
      <c r="E185" s="77" t="n"/>
      <c r="F185" s="77" t="n"/>
      <c r="G185" s="77" t="n"/>
      <c r="H185" s="77" t="n"/>
      <c r="I185" s="78" t="n"/>
      <c r="J185" s="79" t="n"/>
      <c r="K185" s="77" t="n"/>
      <c r="L185" s="77" t="n"/>
      <c r="M185" s="80" t="n"/>
      <c r="N185" s="77" t="n"/>
      <c r="O185" s="77" t="n"/>
      <c r="P185" s="77" t="n"/>
      <c r="Q185" s="77" t="n"/>
      <c r="R185" s="77" t="n"/>
      <c r="S185" s="77" t="n"/>
      <c r="T185" s="74" t="n"/>
      <c r="U185" s="81" t="n"/>
      <c r="V185" s="81" t="n"/>
      <c r="W185" s="82" t="n"/>
    </row>
    <row r="186" ht="15.75" customHeight="1" s="198">
      <c r="A186" s="77" t="n"/>
      <c r="B186" s="77" t="n"/>
      <c r="C186" s="77" t="n"/>
      <c r="D186" s="77" t="n"/>
      <c r="E186" s="77" t="n"/>
      <c r="F186" s="77" t="n"/>
      <c r="G186" s="77" t="n"/>
      <c r="H186" s="77" t="n"/>
      <c r="I186" s="78" t="n"/>
      <c r="J186" s="79" t="n"/>
      <c r="K186" s="77" t="n"/>
      <c r="L186" s="77" t="n"/>
      <c r="M186" s="80" t="n"/>
      <c r="N186" s="77" t="n"/>
      <c r="O186" s="77" t="n"/>
      <c r="P186" s="77" t="n"/>
      <c r="Q186" s="77" t="n"/>
      <c r="R186" s="77" t="n"/>
      <c r="S186" s="77" t="n"/>
      <c r="T186" s="74" t="n"/>
      <c r="U186" s="81" t="n"/>
      <c r="V186" s="81" t="n"/>
      <c r="W186" s="82" t="n"/>
    </row>
    <row r="187" ht="15.75" customHeight="1" s="198">
      <c r="A187" s="77" t="n"/>
      <c r="B187" s="77" t="n"/>
      <c r="C187" s="77" t="n"/>
      <c r="D187" s="77" t="n"/>
      <c r="E187" s="77" t="n"/>
      <c r="F187" s="77" t="n"/>
      <c r="G187" s="77" t="n"/>
      <c r="H187" s="77" t="n"/>
      <c r="I187" s="78" t="n"/>
      <c r="J187" s="79" t="n"/>
      <c r="K187" s="77" t="n"/>
      <c r="L187" s="77" t="n"/>
      <c r="M187" s="80" t="n"/>
      <c r="N187" s="77" t="n"/>
      <c r="O187" s="77" t="n"/>
      <c r="P187" s="77" t="n"/>
      <c r="Q187" s="77" t="n"/>
      <c r="R187" s="77" t="n"/>
      <c r="S187" s="77" t="n"/>
      <c r="T187" s="74" t="n"/>
      <c r="U187" s="81" t="n"/>
      <c r="V187" s="81" t="n"/>
      <c r="W187" s="82" t="n"/>
    </row>
    <row r="188" ht="15.75" customHeight="1" s="198">
      <c r="A188" s="77" t="n"/>
      <c r="B188" s="77" t="n"/>
      <c r="C188" s="77" t="n"/>
      <c r="D188" s="77" t="n"/>
      <c r="E188" s="77" t="n"/>
      <c r="F188" s="77" t="n"/>
      <c r="G188" s="77" t="n"/>
      <c r="H188" s="77" t="n"/>
      <c r="I188" s="78" t="n"/>
      <c r="J188" s="79" t="n"/>
      <c r="K188" s="77" t="n"/>
      <c r="L188" s="77" t="n"/>
      <c r="M188" s="80" t="n"/>
      <c r="N188" s="77" t="n"/>
      <c r="O188" s="77" t="n"/>
      <c r="P188" s="77" t="n"/>
      <c r="Q188" s="77" t="n"/>
      <c r="R188" s="77" t="n"/>
      <c r="S188" s="77" t="n"/>
      <c r="T188" s="74" t="n"/>
      <c r="U188" s="81" t="n"/>
      <c r="V188" s="81" t="n"/>
      <c r="W188" s="82" t="n"/>
    </row>
    <row r="189" ht="15.75" customHeight="1" s="198">
      <c r="A189" s="77" t="n"/>
      <c r="B189" s="77" t="n"/>
      <c r="C189" s="77" t="n"/>
      <c r="D189" s="77" t="n"/>
      <c r="E189" s="77" t="n"/>
      <c r="F189" s="77" t="n"/>
      <c r="G189" s="77" t="n"/>
      <c r="H189" s="77" t="n"/>
      <c r="I189" s="78" t="n"/>
      <c r="J189" s="79" t="n"/>
      <c r="K189" s="77" t="n"/>
      <c r="L189" s="77" t="n"/>
      <c r="M189" s="80" t="n"/>
      <c r="N189" s="77" t="n"/>
      <c r="O189" s="77" t="n"/>
      <c r="P189" s="77" t="n"/>
      <c r="Q189" s="77" t="n"/>
      <c r="R189" s="77" t="n"/>
      <c r="S189" s="77" t="n"/>
      <c r="T189" s="74" t="n"/>
      <c r="U189" s="81" t="n"/>
      <c r="V189" s="81" t="n"/>
      <c r="W189" s="82" t="n"/>
    </row>
    <row r="190" ht="15.75" customHeight="1" s="198">
      <c r="A190" s="77" t="n"/>
      <c r="B190" s="77" t="n"/>
      <c r="C190" s="77" t="n"/>
      <c r="D190" s="77" t="n"/>
      <c r="E190" s="77" t="n"/>
      <c r="F190" s="77" t="n"/>
      <c r="G190" s="77" t="n"/>
      <c r="H190" s="77" t="n"/>
      <c r="I190" s="78" t="n"/>
      <c r="J190" s="79" t="n"/>
      <c r="K190" s="77" t="n"/>
      <c r="L190" s="77" t="n"/>
      <c r="M190" s="80" t="n"/>
      <c r="N190" s="77" t="n"/>
      <c r="O190" s="77" t="n"/>
      <c r="P190" s="77" t="n"/>
      <c r="Q190" s="77" t="n"/>
      <c r="R190" s="77" t="n"/>
      <c r="S190" s="77" t="n"/>
      <c r="T190" s="74" t="n"/>
      <c r="U190" s="81" t="n"/>
      <c r="V190" s="81" t="n"/>
      <c r="W190" s="82" t="n"/>
    </row>
    <row r="191" ht="15.75" customHeight="1" s="198">
      <c r="A191" s="77" t="n"/>
      <c r="B191" s="77" t="n"/>
      <c r="C191" s="77" t="n"/>
      <c r="D191" s="77" t="n"/>
      <c r="E191" s="77" t="n"/>
      <c r="F191" s="77" t="n"/>
      <c r="G191" s="77" t="n"/>
      <c r="H191" s="77" t="n"/>
      <c r="I191" s="78" t="n"/>
      <c r="J191" s="79" t="n"/>
      <c r="K191" s="77" t="n"/>
      <c r="L191" s="77" t="n"/>
      <c r="M191" s="80" t="n"/>
      <c r="N191" s="77" t="n"/>
      <c r="O191" s="77" t="n"/>
      <c r="P191" s="77" t="n"/>
      <c r="Q191" s="77" t="n"/>
      <c r="R191" s="77" t="n"/>
      <c r="S191" s="77" t="n"/>
      <c r="T191" s="74" t="n"/>
      <c r="U191" s="81" t="n"/>
      <c r="V191" s="81" t="n"/>
      <c r="W191" s="82" t="n"/>
    </row>
    <row r="192" ht="15.75" customHeight="1" s="198">
      <c r="A192" s="77" t="n"/>
      <c r="B192" s="77" t="n"/>
      <c r="C192" s="77" t="n"/>
      <c r="D192" s="77" t="n"/>
      <c r="E192" s="77" t="n"/>
      <c r="F192" s="77" t="n"/>
      <c r="G192" s="77" t="n"/>
      <c r="H192" s="77" t="n"/>
      <c r="I192" s="78" t="n"/>
      <c r="J192" s="79" t="n"/>
      <c r="K192" s="77" t="n"/>
      <c r="L192" s="77" t="n"/>
      <c r="M192" s="80" t="n"/>
      <c r="N192" s="77" t="n"/>
      <c r="O192" s="77" t="n"/>
      <c r="P192" s="77" t="n"/>
      <c r="Q192" s="77" t="n"/>
      <c r="R192" s="77" t="n"/>
      <c r="S192" s="77" t="n"/>
      <c r="T192" s="74" t="n"/>
      <c r="U192" s="81" t="n"/>
      <c r="V192" s="81" t="n"/>
      <c r="W192" s="82" t="n"/>
    </row>
    <row r="193" ht="15.75" customHeight="1" s="198">
      <c r="A193" s="77" t="n"/>
      <c r="B193" s="77" t="n"/>
      <c r="C193" s="77" t="n"/>
      <c r="D193" s="77" t="n"/>
      <c r="E193" s="77" t="n"/>
      <c r="F193" s="77" t="n"/>
      <c r="G193" s="77" t="n"/>
      <c r="H193" s="77" t="n"/>
      <c r="I193" s="78" t="n"/>
      <c r="J193" s="79" t="n"/>
      <c r="K193" s="77" t="n"/>
      <c r="L193" s="77" t="n"/>
      <c r="M193" s="80" t="n"/>
      <c r="N193" s="77" t="n"/>
      <c r="O193" s="77" t="n"/>
      <c r="P193" s="77" t="n"/>
      <c r="Q193" s="77" t="n"/>
      <c r="R193" s="77" t="n"/>
      <c r="S193" s="77" t="n"/>
      <c r="T193" s="74" t="n"/>
      <c r="U193" s="81" t="n"/>
      <c r="V193" s="81" t="n"/>
      <c r="W193" s="82" t="n"/>
    </row>
    <row r="194" ht="15.75" customHeight="1" s="198">
      <c r="A194" s="77" t="n"/>
      <c r="B194" s="77" t="n"/>
      <c r="C194" s="77" t="n"/>
      <c r="D194" s="77" t="n"/>
      <c r="E194" s="77" t="n"/>
      <c r="F194" s="77" t="n"/>
      <c r="G194" s="77" t="n"/>
      <c r="H194" s="77" t="n"/>
      <c r="I194" s="78" t="n"/>
      <c r="J194" s="79" t="n"/>
      <c r="K194" s="77" t="n"/>
      <c r="L194" s="77" t="n"/>
      <c r="M194" s="80" t="n"/>
      <c r="N194" s="77" t="n"/>
      <c r="O194" s="77" t="n"/>
      <c r="P194" s="77" t="n"/>
      <c r="Q194" s="77" t="n"/>
      <c r="R194" s="77" t="n"/>
      <c r="S194" s="77" t="n"/>
      <c r="T194" s="74" t="n"/>
      <c r="U194" s="81" t="n"/>
      <c r="V194" s="81" t="n"/>
      <c r="W194" s="82" t="n"/>
    </row>
    <row r="195" ht="15.75" customHeight="1" s="198">
      <c r="A195" s="77" t="n"/>
      <c r="B195" s="77" t="n"/>
      <c r="C195" s="77" t="n"/>
      <c r="D195" s="77" t="n"/>
      <c r="E195" s="77" t="n"/>
      <c r="F195" s="77" t="n"/>
      <c r="G195" s="77" t="n"/>
      <c r="H195" s="77" t="n"/>
      <c r="I195" s="78" t="n"/>
      <c r="J195" s="79" t="n"/>
      <c r="K195" s="77" t="n"/>
      <c r="L195" s="77" t="n"/>
      <c r="M195" s="80" t="n"/>
      <c r="N195" s="77" t="n"/>
      <c r="O195" s="77" t="n"/>
      <c r="P195" s="77" t="n"/>
      <c r="Q195" s="77" t="n"/>
      <c r="R195" s="77" t="n"/>
      <c r="S195" s="77" t="n"/>
      <c r="T195" s="74" t="n"/>
      <c r="U195" s="81" t="n"/>
      <c r="V195" s="81" t="n"/>
      <c r="W195" s="82" t="n"/>
    </row>
    <row r="196" ht="15.75" customHeight="1" s="198">
      <c r="A196" s="77" t="n"/>
      <c r="B196" s="77" t="n"/>
      <c r="C196" s="77" t="n"/>
      <c r="D196" s="77" t="n"/>
      <c r="E196" s="77" t="n"/>
      <c r="F196" s="77" t="n"/>
      <c r="G196" s="77" t="n"/>
      <c r="H196" s="77" t="n"/>
      <c r="I196" s="78" t="n"/>
      <c r="J196" s="79" t="n"/>
      <c r="K196" s="77" t="n"/>
      <c r="L196" s="77" t="n"/>
      <c r="M196" s="80" t="n"/>
      <c r="N196" s="77" t="n"/>
      <c r="O196" s="77" t="n"/>
      <c r="P196" s="77" t="n"/>
      <c r="Q196" s="77" t="n"/>
      <c r="R196" s="77" t="n"/>
      <c r="S196" s="77" t="n"/>
      <c r="T196" s="74" t="n"/>
      <c r="U196" s="81" t="n"/>
      <c r="V196" s="81" t="n"/>
      <c r="W196" s="82" t="n"/>
    </row>
    <row r="197" ht="15.75" customHeight="1" s="198">
      <c r="A197" s="77" t="n"/>
      <c r="B197" s="77" t="n"/>
      <c r="C197" s="77" t="n"/>
      <c r="D197" s="77" t="n"/>
      <c r="E197" s="77" t="n"/>
      <c r="F197" s="77" t="n"/>
      <c r="G197" s="77" t="n"/>
      <c r="H197" s="77" t="n"/>
      <c r="I197" s="78" t="n"/>
      <c r="J197" s="79" t="n"/>
      <c r="K197" s="77" t="n"/>
      <c r="L197" s="77" t="n"/>
      <c r="M197" s="80" t="n"/>
      <c r="N197" s="77" t="n"/>
      <c r="O197" s="77" t="n"/>
      <c r="P197" s="77" t="n"/>
      <c r="Q197" s="77" t="n"/>
      <c r="R197" s="77" t="n"/>
      <c r="S197" s="77" t="n"/>
      <c r="T197" s="74" t="n"/>
      <c r="U197" s="81" t="n"/>
      <c r="V197" s="81" t="n"/>
      <c r="W197" s="82" t="n"/>
    </row>
    <row r="198" ht="15.75" customHeight="1" s="198">
      <c r="A198" s="77" t="n"/>
      <c r="B198" s="77" t="n"/>
      <c r="C198" s="77" t="n"/>
      <c r="D198" s="77" t="n"/>
      <c r="E198" s="77" t="n"/>
      <c r="F198" s="77" t="n"/>
      <c r="G198" s="77" t="n"/>
      <c r="H198" s="77" t="n"/>
      <c r="I198" s="78" t="n"/>
      <c r="J198" s="79" t="n"/>
      <c r="K198" s="77" t="n"/>
      <c r="L198" s="77" t="n"/>
      <c r="M198" s="80" t="n"/>
      <c r="N198" s="77" t="n"/>
      <c r="O198" s="77" t="n"/>
      <c r="P198" s="77" t="n"/>
      <c r="Q198" s="77" t="n"/>
      <c r="R198" s="77" t="n"/>
      <c r="S198" s="77" t="n"/>
      <c r="T198" s="74" t="n"/>
      <c r="U198" s="81" t="n"/>
      <c r="V198" s="81" t="n"/>
      <c r="W198" s="82" t="n"/>
    </row>
    <row r="199" ht="15.75" customHeight="1" s="198">
      <c r="A199" s="77" t="n"/>
      <c r="B199" s="77" t="n"/>
      <c r="C199" s="77" t="n"/>
      <c r="D199" s="77" t="n"/>
      <c r="E199" s="77" t="n"/>
      <c r="F199" s="77" t="n"/>
      <c r="G199" s="77" t="n"/>
      <c r="H199" s="77" t="n"/>
      <c r="I199" s="78" t="n"/>
      <c r="J199" s="79" t="n"/>
      <c r="K199" s="77" t="n"/>
      <c r="L199" s="77" t="n"/>
      <c r="M199" s="80" t="n"/>
      <c r="N199" s="77" t="n"/>
      <c r="O199" s="77" t="n"/>
      <c r="P199" s="77" t="n"/>
      <c r="Q199" s="77" t="n"/>
      <c r="R199" s="77" t="n"/>
      <c r="S199" s="77" t="n"/>
      <c r="T199" s="74" t="n"/>
      <c r="U199" s="81" t="n"/>
      <c r="V199" s="81" t="n"/>
      <c r="W199" s="82" t="n"/>
    </row>
    <row r="200" ht="15.75" customHeight="1" s="198">
      <c r="A200" s="77" t="n"/>
      <c r="B200" s="77" t="n"/>
      <c r="C200" s="77" t="n"/>
      <c r="D200" s="77" t="n"/>
      <c r="E200" s="77" t="n"/>
      <c r="F200" s="77" t="n"/>
      <c r="G200" s="77" t="n"/>
      <c r="H200" s="77" t="n"/>
      <c r="I200" s="78" t="n"/>
      <c r="J200" s="79" t="n"/>
      <c r="K200" s="77" t="n"/>
      <c r="L200" s="77" t="n"/>
      <c r="M200" s="80" t="n"/>
      <c r="N200" s="77" t="n"/>
      <c r="O200" s="77" t="n"/>
      <c r="P200" s="77" t="n"/>
      <c r="Q200" s="77" t="n"/>
      <c r="R200" s="77" t="n"/>
      <c r="S200" s="77" t="n"/>
      <c r="T200" s="74" t="n"/>
      <c r="U200" s="81" t="n"/>
      <c r="V200" s="81" t="n"/>
      <c r="W200" s="82" t="n"/>
    </row>
    <row r="201" ht="15.75" customHeight="1" s="198">
      <c r="A201" s="77" t="n"/>
      <c r="B201" s="77" t="n"/>
      <c r="C201" s="77" t="n"/>
      <c r="D201" s="77" t="n"/>
      <c r="E201" s="77" t="n"/>
      <c r="F201" s="77" t="n"/>
      <c r="G201" s="77" t="n"/>
      <c r="H201" s="77" t="n"/>
      <c r="I201" s="78" t="n"/>
      <c r="J201" s="79" t="n"/>
      <c r="K201" s="77" t="n"/>
      <c r="L201" s="77" t="n"/>
      <c r="M201" s="80" t="n"/>
      <c r="N201" s="77" t="n"/>
      <c r="O201" s="77" t="n"/>
      <c r="P201" s="77" t="n"/>
      <c r="Q201" s="77" t="n"/>
      <c r="R201" s="77" t="n"/>
      <c r="S201" s="77" t="n"/>
      <c r="T201" s="74" t="n"/>
      <c r="U201" s="81" t="n"/>
      <c r="V201" s="81" t="n"/>
      <c r="W201" s="82" t="n"/>
    </row>
    <row r="202" ht="15.75" customHeight="1" s="198">
      <c r="A202" s="77" t="n"/>
      <c r="B202" s="77" t="n"/>
      <c r="C202" s="77" t="n"/>
      <c r="D202" s="77" t="n"/>
      <c r="E202" s="77" t="n"/>
      <c r="F202" s="77" t="n"/>
      <c r="G202" s="77" t="n"/>
      <c r="H202" s="77" t="n"/>
      <c r="I202" s="78" t="n"/>
      <c r="J202" s="79" t="n"/>
      <c r="K202" s="77" t="n"/>
      <c r="L202" s="77" t="n"/>
      <c r="M202" s="80" t="n"/>
      <c r="N202" s="77" t="n"/>
      <c r="O202" s="77" t="n"/>
      <c r="P202" s="77" t="n"/>
      <c r="Q202" s="77" t="n"/>
      <c r="R202" s="77" t="n"/>
      <c r="S202" s="77" t="n"/>
      <c r="T202" s="74" t="n"/>
      <c r="U202" s="81" t="n"/>
      <c r="V202" s="81" t="n"/>
      <c r="W202" s="82" t="n"/>
    </row>
    <row r="203" ht="15.75" customHeight="1" s="198">
      <c r="A203" s="77" t="n"/>
      <c r="B203" s="77" t="n"/>
      <c r="C203" s="77" t="n"/>
      <c r="D203" s="77" t="n"/>
      <c r="E203" s="77" t="n"/>
      <c r="F203" s="77" t="n"/>
      <c r="G203" s="77" t="n"/>
      <c r="H203" s="77" t="n"/>
      <c r="I203" s="78" t="n"/>
      <c r="J203" s="79" t="n"/>
      <c r="K203" s="77" t="n"/>
      <c r="L203" s="77" t="n"/>
      <c r="M203" s="80" t="n"/>
      <c r="N203" s="77" t="n"/>
      <c r="O203" s="77" t="n"/>
      <c r="P203" s="77" t="n"/>
      <c r="Q203" s="77" t="n"/>
      <c r="R203" s="77" t="n"/>
      <c r="S203" s="77" t="n"/>
      <c r="T203" s="74" t="n"/>
      <c r="U203" s="81" t="n"/>
      <c r="V203" s="81" t="n"/>
      <c r="W203" s="82" t="n"/>
    </row>
    <row r="204" ht="15.75" customHeight="1" s="198">
      <c r="A204" s="77" t="n"/>
      <c r="B204" s="77" t="n"/>
      <c r="C204" s="77" t="n"/>
      <c r="D204" s="77" t="n"/>
      <c r="E204" s="77" t="n"/>
      <c r="F204" s="77" t="n"/>
      <c r="G204" s="77" t="n"/>
      <c r="H204" s="77" t="n"/>
      <c r="I204" s="78" t="n"/>
      <c r="J204" s="79" t="n"/>
      <c r="K204" s="77" t="n"/>
      <c r="L204" s="77" t="n"/>
      <c r="M204" s="80" t="n"/>
      <c r="N204" s="77" t="n"/>
      <c r="O204" s="77" t="n"/>
      <c r="P204" s="77" t="n"/>
      <c r="Q204" s="77" t="n"/>
      <c r="R204" s="77" t="n"/>
      <c r="S204" s="77" t="n"/>
      <c r="T204" s="74" t="n"/>
      <c r="U204" s="81" t="n"/>
      <c r="V204" s="81" t="n"/>
      <c r="W204" s="82" t="n"/>
    </row>
    <row r="205" ht="15.75" customHeight="1" s="198">
      <c r="A205" s="77" t="n"/>
      <c r="B205" s="77" t="n"/>
      <c r="C205" s="77" t="n"/>
      <c r="D205" s="77" t="n"/>
      <c r="E205" s="77" t="n"/>
      <c r="F205" s="77" t="n"/>
      <c r="G205" s="77" t="n"/>
      <c r="H205" s="77" t="n"/>
      <c r="I205" s="78" t="n"/>
      <c r="J205" s="79" t="n"/>
      <c r="K205" s="77" t="n"/>
      <c r="L205" s="77" t="n"/>
      <c r="M205" s="80" t="n"/>
      <c r="N205" s="77" t="n"/>
      <c r="O205" s="77" t="n"/>
      <c r="P205" s="77" t="n"/>
      <c r="Q205" s="77" t="n"/>
      <c r="R205" s="77" t="n"/>
      <c r="S205" s="77" t="n"/>
      <c r="T205" s="74" t="n"/>
      <c r="U205" s="81" t="n"/>
      <c r="V205" s="81" t="n"/>
      <c r="W205" s="82" t="n"/>
    </row>
    <row r="206" ht="15.75" customHeight="1" s="198">
      <c r="A206" s="77" t="n"/>
      <c r="B206" s="77" t="n"/>
      <c r="C206" s="77" t="n"/>
      <c r="D206" s="77" t="n"/>
      <c r="E206" s="77" t="n"/>
      <c r="F206" s="77" t="n"/>
      <c r="G206" s="77" t="n"/>
      <c r="H206" s="77" t="n"/>
      <c r="I206" s="78" t="n"/>
      <c r="J206" s="79" t="n"/>
      <c r="K206" s="77" t="n"/>
      <c r="L206" s="77" t="n"/>
      <c r="M206" s="80" t="n"/>
      <c r="N206" s="77" t="n"/>
      <c r="O206" s="77" t="n"/>
      <c r="P206" s="77" t="n"/>
      <c r="Q206" s="77" t="n"/>
      <c r="R206" s="77" t="n"/>
      <c r="S206" s="77" t="n"/>
      <c r="T206" s="74" t="n"/>
      <c r="U206" s="81" t="n"/>
      <c r="V206" s="81" t="n"/>
      <c r="W206" s="82" t="n"/>
    </row>
    <row r="207" ht="15.75" customHeight="1" s="198">
      <c r="A207" s="77" t="n"/>
      <c r="B207" s="77" t="n"/>
      <c r="C207" s="77" t="n"/>
      <c r="D207" s="77" t="n"/>
      <c r="E207" s="77" t="n"/>
      <c r="F207" s="77" t="n"/>
      <c r="G207" s="77" t="n"/>
      <c r="H207" s="77" t="n"/>
      <c r="I207" s="78" t="n"/>
      <c r="J207" s="79" t="n"/>
      <c r="K207" s="77" t="n"/>
      <c r="L207" s="77" t="n"/>
      <c r="M207" s="80" t="n"/>
      <c r="N207" s="77" t="n"/>
      <c r="O207" s="77" t="n"/>
      <c r="P207" s="77" t="n"/>
      <c r="Q207" s="77" t="n"/>
      <c r="R207" s="77" t="n"/>
      <c r="S207" s="77" t="n"/>
      <c r="T207" s="74" t="n"/>
      <c r="U207" s="81" t="n"/>
      <c r="V207" s="81" t="n"/>
      <c r="W207" s="82" t="n"/>
    </row>
    <row r="208" ht="15.75" customHeight="1" s="198">
      <c r="A208" s="77" t="n"/>
      <c r="B208" s="77" t="n"/>
      <c r="C208" s="77" t="n"/>
      <c r="D208" s="77" t="n"/>
      <c r="E208" s="77" t="n"/>
      <c r="F208" s="77" t="n"/>
      <c r="G208" s="77" t="n"/>
      <c r="H208" s="77" t="n"/>
      <c r="I208" s="78" t="n"/>
      <c r="J208" s="79" t="n"/>
      <c r="K208" s="77" t="n"/>
      <c r="L208" s="77" t="n"/>
      <c r="M208" s="80" t="n"/>
      <c r="N208" s="77" t="n"/>
      <c r="O208" s="77" t="n"/>
      <c r="P208" s="77" t="n"/>
      <c r="Q208" s="77" t="n"/>
      <c r="R208" s="77" t="n"/>
      <c r="S208" s="77" t="n"/>
      <c r="T208" s="74" t="n"/>
      <c r="U208" s="81" t="n"/>
      <c r="V208" s="81" t="n"/>
      <c r="W208" s="82" t="n"/>
    </row>
    <row r="209" ht="15.75" customHeight="1" s="198">
      <c r="A209" s="77" t="n"/>
      <c r="B209" s="77" t="n"/>
      <c r="C209" s="77" t="n"/>
      <c r="D209" s="77" t="n"/>
      <c r="E209" s="77" t="n"/>
      <c r="F209" s="77" t="n"/>
      <c r="G209" s="77" t="n"/>
      <c r="H209" s="77" t="n"/>
      <c r="I209" s="78" t="n"/>
      <c r="J209" s="79" t="n"/>
      <c r="K209" s="77" t="n"/>
      <c r="L209" s="77" t="n"/>
      <c r="M209" s="80" t="n"/>
      <c r="N209" s="77" t="n"/>
      <c r="O209" s="77" t="n"/>
      <c r="P209" s="77" t="n"/>
      <c r="Q209" s="77" t="n"/>
      <c r="R209" s="77" t="n"/>
      <c r="S209" s="77" t="n"/>
      <c r="T209" s="74" t="n"/>
      <c r="U209" s="81" t="n"/>
      <c r="V209" s="81" t="n"/>
      <c r="W209" s="82" t="n"/>
    </row>
    <row r="210" ht="15.75" customHeight="1" s="198">
      <c r="A210" s="77" t="n"/>
      <c r="B210" s="77" t="n"/>
      <c r="C210" s="77" t="n"/>
      <c r="D210" s="77" t="n"/>
      <c r="E210" s="77" t="n"/>
      <c r="F210" s="77" t="n"/>
      <c r="G210" s="77" t="n"/>
      <c r="H210" s="77" t="n"/>
      <c r="I210" s="78" t="n"/>
      <c r="J210" s="79" t="n"/>
      <c r="K210" s="77" t="n"/>
      <c r="L210" s="77" t="n"/>
      <c r="M210" s="80" t="n"/>
      <c r="N210" s="77" t="n"/>
      <c r="O210" s="77" t="n"/>
      <c r="P210" s="77" t="n"/>
      <c r="Q210" s="77" t="n"/>
      <c r="R210" s="77" t="n"/>
      <c r="S210" s="77" t="n"/>
      <c r="T210" s="74" t="n"/>
      <c r="U210" s="81" t="n"/>
      <c r="V210" s="81" t="n"/>
      <c r="W210" s="82" t="n"/>
    </row>
    <row r="211" ht="15.75" customHeight="1" s="198">
      <c r="A211" s="77" t="n"/>
      <c r="B211" s="77" t="n"/>
      <c r="C211" s="77" t="n"/>
      <c r="D211" s="77" t="n"/>
      <c r="E211" s="77" t="n"/>
      <c r="F211" s="77" t="n"/>
      <c r="G211" s="77" t="n"/>
      <c r="H211" s="77" t="n"/>
      <c r="I211" s="78" t="n"/>
      <c r="J211" s="79" t="n"/>
      <c r="K211" s="77" t="n"/>
      <c r="L211" s="77" t="n"/>
      <c r="M211" s="80" t="n"/>
      <c r="N211" s="77" t="n"/>
      <c r="O211" s="77" t="n"/>
      <c r="P211" s="77" t="n"/>
      <c r="Q211" s="77" t="n"/>
      <c r="R211" s="77" t="n"/>
      <c r="S211" s="77" t="n"/>
      <c r="T211" s="74" t="n"/>
      <c r="U211" s="81" t="n"/>
      <c r="V211" s="81" t="n"/>
      <c r="W211" s="82" t="n"/>
    </row>
    <row r="212" ht="15.75" customHeight="1" s="198">
      <c r="A212" s="77" t="n"/>
      <c r="B212" s="77" t="n"/>
      <c r="C212" s="77" t="n"/>
      <c r="D212" s="77" t="n"/>
      <c r="E212" s="77" t="n"/>
      <c r="F212" s="77" t="n"/>
      <c r="G212" s="77" t="n"/>
      <c r="H212" s="77" t="n"/>
      <c r="I212" s="78" t="n"/>
      <c r="J212" s="79" t="n"/>
      <c r="K212" s="77" t="n"/>
      <c r="L212" s="77" t="n"/>
      <c r="M212" s="80" t="n"/>
      <c r="N212" s="77" t="n"/>
      <c r="O212" s="77" t="n"/>
      <c r="P212" s="77" t="n"/>
      <c r="Q212" s="77" t="n"/>
      <c r="R212" s="77" t="n"/>
      <c r="S212" s="77" t="n"/>
      <c r="T212" s="74" t="n"/>
      <c r="U212" s="81" t="n"/>
      <c r="V212" s="81" t="n"/>
      <c r="W212" s="82" t="n"/>
    </row>
    <row r="213" ht="15.75" customHeight="1" s="198">
      <c r="A213" s="77" t="n"/>
      <c r="B213" s="77" t="n"/>
      <c r="C213" s="77" t="n"/>
      <c r="D213" s="77" t="n"/>
      <c r="E213" s="77" t="n"/>
      <c r="F213" s="77" t="n"/>
      <c r="G213" s="77" t="n"/>
      <c r="H213" s="77" t="n"/>
      <c r="I213" s="78" t="n"/>
      <c r="J213" s="79" t="n"/>
      <c r="K213" s="77" t="n"/>
      <c r="L213" s="77" t="n"/>
      <c r="M213" s="80" t="n"/>
      <c r="N213" s="77" t="n"/>
      <c r="O213" s="77" t="n"/>
      <c r="P213" s="77" t="n"/>
      <c r="Q213" s="77" t="n"/>
      <c r="R213" s="77" t="n"/>
      <c r="S213" s="77" t="n"/>
      <c r="T213" s="74" t="n"/>
      <c r="U213" s="81" t="n"/>
      <c r="V213" s="81" t="n"/>
      <c r="W213" s="82" t="n"/>
    </row>
    <row r="214" ht="15.75" customHeight="1" s="198">
      <c r="A214" s="77" t="n"/>
      <c r="B214" s="77" t="n"/>
      <c r="C214" s="77" t="n"/>
      <c r="D214" s="77" t="n"/>
      <c r="E214" s="77" t="n"/>
      <c r="F214" s="77" t="n"/>
      <c r="G214" s="77" t="n"/>
      <c r="H214" s="77" t="n"/>
      <c r="I214" s="78" t="n"/>
      <c r="J214" s="79" t="n"/>
      <c r="K214" s="77" t="n"/>
      <c r="L214" s="77" t="n"/>
      <c r="M214" s="80" t="n"/>
      <c r="N214" s="77" t="n"/>
      <c r="O214" s="77" t="n"/>
      <c r="P214" s="77" t="n"/>
      <c r="Q214" s="77" t="n"/>
      <c r="R214" s="77" t="n"/>
      <c r="S214" s="77" t="n"/>
      <c r="T214" s="74" t="n"/>
      <c r="U214" s="81" t="n"/>
      <c r="V214" s="81" t="n"/>
      <c r="W214" s="82" t="n"/>
    </row>
    <row r="215" ht="15.75" customHeight="1" s="198">
      <c r="A215" s="77" t="n"/>
      <c r="B215" s="77" t="n"/>
      <c r="C215" s="77" t="n"/>
      <c r="D215" s="77" t="n"/>
      <c r="E215" s="77" t="n"/>
      <c r="F215" s="77" t="n"/>
      <c r="G215" s="77" t="n"/>
      <c r="H215" s="77" t="n"/>
      <c r="I215" s="78" t="n"/>
      <c r="J215" s="79" t="n"/>
      <c r="K215" s="77" t="n"/>
      <c r="L215" s="77" t="n"/>
      <c r="M215" s="80" t="n"/>
      <c r="N215" s="77" t="n"/>
      <c r="O215" s="77" t="n"/>
      <c r="P215" s="77" t="n"/>
      <c r="Q215" s="77" t="n"/>
      <c r="R215" s="77" t="n"/>
      <c r="S215" s="77" t="n"/>
      <c r="T215" s="74" t="n"/>
      <c r="U215" s="81" t="n"/>
      <c r="V215" s="81" t="n"/>
      <c r="W215" s="82" t="n"/>
    </row>
    <row r="216" ht="15.75" customHeight="1" s="198">
      <c r="A216" s="77" t="n"/>
      <c r="B216" s="77" t="n"/>
      <c r="C216" s="77" t="n"/>
      <c r="D216" s="77" t="n"/>
      <c r="E216" s="77" t="n"/>
      <c r="F216" s="77" t="n"/>
      <c r="G216" s="77" t="n"/>
      <c r="H216" s="77" t="n"/>
      <c r="I216" s="78" t="n"/>
      <c r="J216" s="79" t="n"/>
      <c r="K216" s="77" t="n"/>
      <c r="L216" s="77" t="n"/>
      <c r="M216" s="80" t="n"/>
      <c r="N216" s="77" t="n"/>
      <c r="O216" s="77" t="n"/>
      <c r="P216" s="77" t="n"/>
      <c r="Q216" s="77" t="n"/>
      <c r="R216" s="77" t="n"/>
      <c r="S216" s="77" t="n"/>
      <c r="T216" s="74" t="n"/>
      <c r="U216" s="81" t="n"/>
      <c r="V216" s="81" t="n"/>
      <c r="W216" s="82" t="n"/>
    </row>
    <row r="217" ht="15.75" customHeight="1" s="198">
      <c r="A217" s="77" t="n"/>
      <c r="B217" s="77" t="n"/>
      <c r="C217" s="77" t="n"/>
      <c r="D217" s="77" t="n"/>
      <c r="E217" s="77" t="n"/>
      <c r="F217" s="77" t="n"/>
      <c r="G217" s="77" t="n"/>
      <c r="H217" s="77" t="n"/>
      <c r="I217" s="78" t="n"/>
      <c r="J217" s="79" t="n"/>
      <c r="K217" s="77" t="n"/>
      <c r="L217" s="77" t="n"/>
      <c r="M217" s="80" t="n"/>
      <c r="N217" s="77" t="n"/>
      <c r="O217" s="77" t="n"/>
      <c r="P217" s="77" t="n"/>
      <c r="Q217" s="77" t="n"/>
      <c r="R217" s="77" t="n"/>
      <c r="S217" s="77" t="n"/>
      <c r="T217" s="74" t="n"/>
      <c r="U217" s="81" t="n"/>
      <c r="V217" s="81" t="n"/>
      <c r="W217" s="82" t="n"/>
    </row>
    <row r="218" ht="15.75" customHeight="1" s="198">
      <c r="A218" s="77" t="n"/>
      <c r="B218" s="77" t="n"/>
      <c r="C218" s="77" t="n"/>
      <c r="D218" s="77" t="n"/>
      <c r="E218" s="77" t="n"/>
      <c r="F218" s="77" t="n"/>
      <c r="G218" s="77" t="n"/>
      <c r="H218" s="77" t="n"/>
      <c r="I218" s="78" t="n"/>
      <c r="J218" s="79" t="n"/>
      <c r="K218" s="77" t="n"/>
      <c r="L218" s="77" t="n"/>
      <c r="M218" s="80" t="n"/>
      <c r="N218" s="77" t="n"/>
      <c r="O218" s="77" t="n"/>
      <c r="P218" s="77" t="n"/>
      <c r="Q218" s="77" t="n"/>
      <c r="R218" s="77" t="n"/>
      <c r="S218" s="77" t="n"/>
      <c r="T218" s="74" t="n"/>
      <c r="U218" s="81" t="n"/>
      <c r="V218" s="81" t="n"/>
      <c r="W218" s="82" t="n"/>
    </row>
    <row r="219" ht="15.75" customHeight="1" s="198">
      <c r="A219" s="77" t="n"/>
      <c r="B219" s="77" t="n"/>
      <c r="C219" s="77" t="n"/>
      <c r="D219" s="77" t="n"/>
      <c r="E219" s="77" t="n"/>
      <c r="F219" s="77" t="n"/>
      <c r="G219" s="77" t="n"/>
      <c r="H219" s="77" t="n"/>
      <c r="I219" s="78" t="n"/>
      <c r="J219" s="79" t="n"/>
      <c r="K219" s="77" t="n"/>
      <c r="L219" s="77" t="n"/>
      <c r="M219" s="80" t="n"/>
      <c r="N219" s="77" t="n"/>
      <c r="O219" s="77" t="n"/>
      <c r="P219" s="77" t="n"/>
      <c r="Q219" s="77" t="n"/>
      <c r="R219" s="77" t="n"/>
      <c r="S219" s="77" t="n"/>
      <c r="T219" s="74" t="n"/>
      <c r="U219" s="81" t="n"/>
      <c r="V219" s="81" t="n"/>
      <c r="W219" s="82" t="n"/>
    </row>
    <row r="220" ht="15.75" customHeight="1" s="198">
      <c r="A220" s="77" t="n"/>
      <c r="B220" s="77" t="n"/>
      <c r="C220" s="77" t="n"/>
      <c r="D220" s="77" t="n"/>
      <c r="E220" s="77" t="n"/>
      <c r="F220" s="77" t="n"/>
      <c r="G220" s="77" t="n"/>
      <c r="H220" s="77" t="n"/>
      <c r="I220" s="78" t="n"/>
      <c r="J220" s="79" t="n"/>
      <c r="K220" s="77" t="n"/>
      <c r="L220" s="77" t="n"/>
      <c r="M220" s="80" t="n"/>
      <c r="N220" s="77" t="n"/>
      <c r="O220" s="77" t="n"/>
      <c r="P220" s="77" t="n"/>
      <c r="Q220" s="77" t="n"/>
      <c r="R220" s="77" t="n"/>
      <c r="S220" s="77" t="n"/>
      <c r="T220" s="74" t="n"/>
      <c r="U220" s="81" t="n"/>
      <c r="V220" s="81" t="n"/>
      <c r="W220" s="82" t="n"/>
    </row>
    <row r="221" ht="15.75" customHeight="1" s="198">
      <c r="A221" s="77" t="n"/>
      <c r="B221" s="77" t="n"/>
      <c r="C221" s="77" t="n"/>
      <c r="D221" s="77" t="n"/>
      <c r="E221" s="77" t="n"/>
      <c r="F221" s="77" t="n"/>
      <c r="G221" s="77" t="n"/>
      <c r="H221" s="77" t="n"/>
      <c r="I221" s="78" t="n"/>
      <c r="J221" s="79" t="n"/>
      <c r="K221" s="77" t="n"/>
      <c r="L221" s="77" t="n"/>
      <c r="M221" s="80" t="n"/>
      <c r="N221" s="77" t="n"/>
      <c r="O221" s="77" t="n"/>
      <c r="P221" s="77" t="n"/>
      <c r="Q221" s="77" t="n"/>
      <c r="R221" s="77" t="n"/>
      <c r="S221" s="77" t="n"/>
      <c r="T221" s="74" t="n"/>
      <c r="U221" s="81" t="n"/>
      <c r="V221" s="81" t="n"/>
      <c r="W221" s="82" t="n"/>
    </row>
    <row r="222" ht="15.75" customHeight="1" s="198">
      <c r="A222" s="77" t="n"/>
      <c r="B222" s="77" t="n"/>
      <c r="C222" s="77" t="n"/>
      <c r="D222" s="77" t="n"/>
      <c r="E222" s="77" t="n"/>
      <c r="F222" s="77" t="n"/>
      <c r="G222" s="77" t="n"/>
      <c r="H222" s="77" t="n"/>
      <c r="I222" s="78" t="n"/>
      <c r="J222" s="79" t="n"/>
      <c r="K222" s="77" t="n"/>
      <c r="L222" s="77" t="n"/>
      <c r="M222" s="80" t="n"/>
      <c r="N222" s="77" t="n"/>
      <c r="O222" s="77" t="n"/>
      <c r="P222" s="77" t="n"/>
      <c r="Q222" s="77" t="n"/>
      <c r="R222" s="77" t="n"/>
      <c r="S222" s="77" t="n"/>
      <c r="T222" s="74" t="n"/>
      <c r="U222" s="81" t="n"/>
      <c r="V222" s="81" t="n"/>
      <c r="W222" s="82" t="n"/>
    </row>
    <row r="223" ht="15.75" customHeight="1" s="198">
      <c r="A223" s="77" t="n"/>
      <c r="B223" s="77" t="n"/>
      <c r="C223" s="77" t="n"/>
      <c r="D223" s="77" t="n"/>
      <c r="E223" s="77" t="n"/>
      <c r="F223" s="77" t="n"/>
      <c r="G223" s="77" t="n"/>
      <c r="H223" s="77" t="n"/>
      <c r="I223" s="78" t="n"/>
      <c r="J223" s="79" t="n"/>
      <c r="K223" s="77" t="n"/>
      <c r="L223" s="77" t="n"/>
      <c r="M223" s="80" t="n"/>
      <c r="N223" s="77" t="n"/>
      <c r="O223" s="77" t="n"/>
      <c r="P223" s="77" t="n"/>
      <c r="Q223" s="77" t="n"/>
      <c r="R223" s="77" t="n"/>
      <c r="S223" s="77" t="n"/>
      <c r="T223" s="74" t="n"/>
      <c r="U223" s="81" t="n"/>
      <c r="V223" s="81" t="n"/>
      <c r="W223" s="82" t="n"/>
    </row>
    <row r="224" ht="15.75" customHeight="1" s="198">
      <c r="A224" s="77" t="n"/>
      <c r="B224" s="77" t="n"/>
      <c r="C224" s="77" t="n"/>
      <c r="D224" s="77" t="n"/>
      <c r="E224" s="77" t="n"/>
      <c r="F224" s="77" t="n"/>
      <c r="G224" s="77" t="n"/>
      <c r="H224" s="77" t="n"/>
      <c r="I224" s="78" t="n"/>
      <c r="J224" s="79" t="n"/>
      <c r="K224" s="77" t="n"/>
      <c r="L224" s="77" t="n"/>
      <c r="M224" s="80" t="n"/>
      <c r="N224" s="77" t="n"/>
      <c r="O224" s="77" t="n"/>
      <c r="P224" s="77" t="n"/>
      <c r="Q224" s="77" t="n"/>
      <c r="R224" s="77" t="n"/>
      <c r="S224" s="77" t="n"/>
      <c r="T224" s="74" t="n"/>
      <c r="U224" s="81" t="n"/>
      <c r="V224" s="81" t="n"/>
      <c r="W224" s="82" t="n"/>
    </row>
    <row r="225" ht="15.75" customHeight="1" s="198">
      <c r="I225" s="83" t="n"/>
      <c r="L225" s="21" t="n"/>
      <c r="M225" s="4" t="n"/>
      <c r="T225" s="84" t="n"/>
    </row>
    <row r="226" ht="15.75" customHeight="1" s="198">
      <c r="I226" s="83" t="n"/>
      <c r="L226" s="21" t="n"/>
      <c r="M226" s="4" t="n"/>
      <c r="T226" s="84" t="n"/>
    </row>
    <row r="227" ht="15.75" customHeight="1" s="198">
      <c r="I227" s="83" t="n"/>
      <c r="L227" s="21" t="n"/>
      <c r="M227" s="4" t="n"/>
      <c r="T227" s="84" t="n"/>
    </row>
    <row r="228" ht="15.75" customHeight="1" s="198">
      <c r="I228" s="83" t="n"/>
      <c r="L228" s="21" t="n"/>
      <c r="M228" s="4" t="n"/>
      <c r="T228" s="84" t="n"/>
    </row>
    <row r="229" ht="15.75" customHeight="1" s="198">
      <c r="I229" s="83" t="n"/>
      <c r="L229" s="21" t="n"/>
      <c r="M229" s="4" t="n"/>
      <c r="T229" s="84" t="n"/>
    </row>
    <row r="230" ht="15.75" customHeight="1" s="198">
      <c r="I230" s="83" t="n"/>
      <c r="L230" s="21" t="n"/>
      <c r="M230" s="4" t="n"/>
      <c r="T230" s="84" t="n"/>
    </row>
    <row r="231" ht="15.75" customHeight="1" s="198">
      <c r="I231" s="83" t="n"/>
      <c r="L231" s="21" t="n"/>
      <c r="M231" s="4" t="n"/>
      <c r="T231" s="84" t="n"/>
    </row>
    <row r="232" ht="15.75" customHeight="1" s="198">
      <c r="I232" s="83" t="n"/>
      <c r="L232" s="21" t="n"/>
      <c r="M232" s="4" t="n"/>
      <c r="T232" s="84" t="n"/>
    </row>
    <row r="233" ht="15.75" customHeight="1" s="198">
      <c r="I233" s="83" t="n"/>
      <c r="L233" s="21" t="n"/>
      <c r="M233" s="4" t="n"/>
      <c r="T233" s="84" t="n"/>
    </row>
    <row r="234" ht="15.75" customHeight="1" s="198">
      <c r="I234" s="83" t="n"/>
      <c r="L234" s="21" t="n"/>
      <c r="M234" s="4" t="n"/>
      <c r="T234" s="84" t="n"/>
    </row>
    <row r="235" ht="15.75" customHeight="1" s="198">
      <c r="I235" s="83" t="n"/>
      <c r="L235" s="21" t="n"/>
      <c r="M235" s="4" t="n"/>
      <c r="T235" s="84" t="n"/>
    </row>
    <row r="236" ht="15.75" customHeight="1" s="198">
      <c r="I236" s="83" t="n"/>
      <c r="L236" s="21" t="n"/>
      <c r="M236" s="4" t="n"/>
      <c r="T236" s="84" t="n"/>
    </row>
    <row r="237" ht="15.75" customHeight="1" s="198">
      <c r="I237" s="83" t="n"/>
      <c r="L237" s="21" t="n"/>
      <c r="M237" s="4" t="n"/>
      <c r="T237" s="84" t="n"/>
    </row>
    <row r="238" ht="15.75" customHeight="1" s="198">
      <c r="I238" s="83" t="n"/>
      <c r="L238" s="21" t="n"/>
      <c r="M238" s="4" t="n"/>
      <c r="T238" s="84" t="n"/>
    </row>
    <row r="239" ht="15.75" customHeight="1" s="198">
      <c r="I239" s="83" t="n"/>
      <c r="L239" s="21" t="n"/>
      <c r="M239" s="4" t="n"/>
      <c r="T239" s="84" t="n"/>
    </row>
    <row r="240" ht="15.75" customHeight="1" s="198">
      <c r="I240" s="83" t="n"/>
      <c r="L240" s="21" t="n"/>
      <c r="M240" s="4" t="n"/>
      <c r="T240" s="84" t="n"/>
    </row>
    <row r="241" ht="15.75" customHeight="1" s="198">
      <c r="I241" s="83" t="n"/>
      <c r="L241" s="21" t="n"/>
      <c r="M241" s="4" t="n"/>
      <c r="T241" s="84" t="n"/>
    </row>
    <row r="242" ht="15.75" customHeight="1" s="198">
      <c r="I242" s="83" t="n"/>
      <c r="L242" s="21" t="n"/>
      <c r="M242" s="4" t="n"/>
      <c r="T242" s="84" t="n"/>
    </row>
    <row r="243" ht="15.75" customHeight="1" s="198">
      <c r="I243" s="83" t="n"/>
      <c r="L243" s="21" t="n"/>
      <c r="M243" s="4" t="n"/>
      <c r="T243" s="84" t="n"/>
    </row>
    <row r="244" ht="15.75" customHeight="1" s="198">
      <c r="I244" s="83" t="n"/>
      <c r="L244" s="21" t="n"/>
      <c r="M244" s="4" t="n"/>
      <c r="T244" s="84" t="n"/>
    </row>
    <row r="245" ht="15.75" customHeight="1" s="198">
      <c r="I245" s="83" t="n"/>
      <c r="L245" s="21" t="n"/>
      <c r="M245" s="4" t="n"/>
      <c r="T245" s="84" t="n"/>
    </row>
    <row r="246" ht="15.75" customHeight="1" s="198">
      <c r="I246" s="83" t="n"/>
      <c r="L246" s="21" t="n"/>
      <c r="M246" s="4" t="n"/>
      <c r="T246" s="84" t="n"/>
    </row>
    <row r="247" ht="15.75" customHeight="1" s="198">
      <c r="I247" s="83" t="n"/>
      <c r="L247" s="21" t="n"/>
      <c r="M247" s="4" t="n"/>
      <c r="T247" s="84" t="n"/>
    </row>
    <row r="248" ht="15.75" customHeight="1" s="198">
      <c r="I248" s="83" t="n"/>
      <c r="L248" s="21" t="n"/>
      <c r="M248" s="4" t="n"/>
      <c r="T248" s="84" t="n"/>
    </row>
    <row r="249" ht="15.75" customHeight="1" s="198">
      <c r="I249" s="83" t="n"/>
      <c r="L249" s="21" t="n"/>
      <c r="M249" s="4" t="n"/>
      <c r="T249" s="84" t="n"/>
    </row>
    <row r="250" ht="15.75" customHeight="1" s="198">
      <c r="I250" s="83" t="n"/>
      <c r="L250" s="21" t="n"/>
      <c r="M250" s="4" t="n"/>
      <c r="T250" s="84" t="n"/>
    </row>
    <row r="251" ht="15.75" customHeight="1" s="198">
      <c r="I251" s="83" t="n"/>
      <c r="L251" s="21" t="n"/>
      <c r="M251" s="4" t="n"/>
      <c r="T251" s="84" t="n"/>
    </row>
    <row r="252" ht="15.75" customHeight="1" s="198">
      <c r="I252" s="83" t="n"/>
      <c r="L252" s="21" t="n"/>
      <c r="M252" s="85" t="n"/>
      <c r="T252" s="84" t="n"/>
    </row>
    <row r="253" ht="15.75" customHeight="1" s="198">
      <c r="I253" s="83" t="n"/>
      <c r="L253" s="21" t="n"/>
      <c r="M253" s="85" t="n"/>
      <c r="T253" s="84" t="n"/>
    </row>
    <row r="254" ht="15.75" customHeight="1" s="198">
      <c r="I254" s="83" t="n"/>
      <c r="L254" s="21" t="n"/>
      <c r="M254" s="85" t="n"/>
      <c r="T254" s="84" t="n"/>
    </row>
    <row r="255" ht="15.75" customHeight="1" s="198">
      <c r="I255" s="83" t="n"/>
      <c r="L255" s="21" t="n"/>
      <c r="M255" s="85" t="n"/>
      <c r="T255" s="84" t="n"/>
    </row>
    <row r="256" ht="15.75" customHeight="1" s="198">
      <c r="I256" s="83" t="n"/>
      <c r="L256" s="21" t="n"/>
      <c r="M256" s="85" t="n"/>
      <c r="T256" s="84" t="n"/>
    </row>
    <row r="257" ht="15.75" customHeight="1" s="198">
      <c r="I257" s="83" t="n"/>
      <c r="L257" s="21" t="n"/>
      <c r="M257" s="85" t="n"/>
      <c r="T257" s="84" t="n"/>
    </row>
    <row r="258" ht="15.75" customHeight="1" s="198">
      <c r="I258" s="83" t="n"/>
      <c r="L258" s="21" t="n"/>
      <c r="M258" s="85" t="n"/>
      <c r="T258" s="84" t="n"/>
    </row>
    <row r="259" ht="15.75" customHeight="1" s="198">
      <c r="I259" s="83" t="n"/>
      <c r="L259" s="21" t="n"/>
      <c r="M259" s="85" t="n"/>
      <c r="T259" s="84" t="n"/>
    </row>
    <row r="260" ht="15.75" customHeight="1" s="198">
      <c r="I260" s="83" t="n"/>
      <c r="L260" s="21" t="n"/>
      <c r="M260" s="85" t="n"/>
      <c r="T260" s="84" t="n"/>
    </row>
    <row r="261" ht="15.75" customHeight="1" s="198">
      <c r="I261" s="83" t="n"/>
      <c r="L261" s="21" t="n"/>
      <c r="M261" s="85" t="n"/>
      <c r="T261" s="84" t="n"/>
    </row>
    <row r="262" ht="15.75" customHeight="1" s="198">
      <c r="I262" s="83" t="n"/>
      <c r="L262" s="21" t="n"/>
      <c r="M262" s="85" t="n"/>
      <c r="T262" s="84" t="n"/>
    </row>
    <row r="263" ht="15.75" customHeight="1" s="198">
      <c r="I263" s="83" t="n"/>
      <c r="L263" s="21" t="n"/>
      <c r="M263" s="85" t="n"/>
      <c r="T263" s="84" t="n"/>
    </row>
    <row r="264" ht="15.75" customHeight="1" s="198">
      <c r="I264" s="83" t="n"/>
      <c r="L264" s="21" t="n"/>
      <c r="M264" s="85" t="n"/>
      <c r="T264" s="84" t="n"/>
    </row>
    <row r="265" ht="15.75" customHeight="1" s="198">
      <c r="I265" s="83" t="n"/>
      <c r="L265" s="21" t="n"/>
      <c r="M265" s="85" t="n"/>
      <c r="T265" s="84" t="n"/>
    </row>
    <row r="266" ht="15.75" customHeight="1" s="198">
      <c r="I266" s="83" t="n"/>
      <c r="L266" s="21" t="n"/>
      <c r="M266" s="85" t="n"/>
      <c r="T266" s="84" t="n"/>
    </row>
    <row r="267" ht="15.75" customHeight="1" s="198">
      <c r="I267" s="83" t="n"/>
      <c r="L267" s="21" t="n"/>
      <c r="M267" s="85" t="n"/>
      <c r="T267" s="84" t="n"/>
    </row>
    <row r="268" ht="15.75" customHeight="1" s="198">
      <c r="I268" s="83" t="n"/>
      <c r="L268" s="21" t="n"/>
      <c r="M268" s="85" t="n"/>
      <c r="T268" s="84" t="n"/>
    </row>
    <row r="269" ht="15.75" customHeight="1" s="198">
      <c r="I269" s="83" t="n"/>
      <c r="L269" s="21" t="n"/>
      <c r="M269" s="85" t="n"/>
      <c r="T269" s="84" t="n"/>
    </row>
    <row r="270" ht="15.75" customHeight="1" s="198">
      <c r="I270" s="83" t="n"/>
      <c r="L270" s="21" t="n"/>
      <c r="M270" s="85" t="n"/>
      <c r="T270" s="84" t="n"/>
    </row>
    <row r="271" ht="15.75" customHeight="1" s="198">
      <c r="I271" s="83" t="n"/>
      <c r="L271" s="21" t="n"/>
      <c r="M271" s="85" t="n"/>
      <c r="T271" s="84" t="n"/>
    </row>
    <row r="272" ht="15.75" customHeight="1" s="198">
      <c r="I272" s="83" t="n"/>
      <c r="L272" s="21" t="n"/>
      <c r="M272" s="85" t="n"/>
      <c r="T272" s="84" t="n"/>
    </row>
    <row r="273" ht="15.75" customHeight="1" s="198">
      <c r="I273" s="83" t="n"/>
      <c r="L273" s="21" t="n"/>
      <c r="M273" s="85" t="n"/>
      <c r="T273" s="84" t="n"/>
    </row>
    <row r="274" ht="15.75" customHeight="1" s="198">
      <c r="I274" s="83" t="n"/>
      <c r="L274" s="21" t="n"/>
      <c r="M274" s="85" t="n"/>
      <c r="T274" s="84" t="n"/>
    </row>
    <row r="275" ht="15.75" customHeight="1" s="198">
      <c r="I275" s="83" t="n"/>
      <c r="L275" s="21" t="n"/>
      <c r="M275" s="85" t="n"/>
      <c r="T275" s="84" t="n"/>
    </row>
    <row r="276" ht="15.75" customHeight="1" s="198">
      <c r="I276" s="83" t="n"/>
      <c r="L276" s="21" t="n"/>
      <c r="M276" s="85" t="n"/>
      <c r="T276" s="84" t="n"/>
    </row>
    <row r="277" ht="15.75" customHeight="1" s="198">
      <c r="I277" s="83" t="n"/>
      <c r="L277" s="21" t="n"/>
      <c r="M277" s="85" t="n"/>
      <c r="T277" s="84" t="n"/>
    </row>
    <row r="278" ht="15.75" customHeight="1" s="198">
      <c r="I278" s="83" t="n"/>
      <c r="L278" s="21" t="n"/>
      <c r="M278" s="85" t="n"/>
      <c r="T278" s="84" t="n"/>
    </row>
    <row r="279" ht="15.75" customHeight="1" s="198">
      <c r="I279" s="83" t="n"/>
      <c r="L279" s="21" t="n"/>
      <c r="M279" s="85" t="n"/>
      <c r="T279" s="84" t="n"/>
    </row>
    <row r="280" ht="15.75" customHeight="1" s="198">
      <c r="I280" s="83" t="n"/>
      <c r="L280" s="21" t="n"/>
      <c r="M280" s="85" t="n"/>
      <c r="T280" s="84" t="n"/>
    </row>
    <row r="281" ht="15.75" customHeight="1" s="198">
      <c r="I281" s="83" t="n"/>
      <c r="L281" s="21" t="n"/>
      <c r="M281" s="85" t="n"/>
      <c r="T281" s="84" t="n"/>
    </row>
    <row r="282" ht="15.75" customHeight="1" s="198">
      <c r="I282" s="83" t="n"/>
      <c r="L282" s="21" t="n"/>
      <c r="M282" s="85" t="n"/>
      <c r="T282" s="84" t="n"/>
    </row>
    <row r="283" ht="15.75" customHeight="1" s="198">
      <c r="I283" s="83" t="n"/>
      <c r="L283" s="21" t="n"/>
      <c r="M283" s="85" t="n"/>
      <c r="T283" s="84" t="n"/>
    </row>
    <row r="284" ht="15.75" customHeight="1" s="198">
      <c r="I284" s="83" t="n"/>
      <c r="L284" s="21" t="n"/>
      <c r="M284" s="85" t="n"/>
      <c r="T284" s="84" t="n"/>
    </row>
    <row r="285" ht="15.75" customHeight="1" s="198">
      <c r="I285" s="83" t="n"/>
      <c r="L285" s="21" t="n"/>
      <c r="M285" s="85" t="n"/>
      <c r="T285" s="84" t="n"/>
    </row>
    <row r="286" ht="15.75" customHeight="1" s="198">
      <c r="I286" s="83" t="n"/>
      <c r="L286" s="21" t="n"/>
      <c r="M286" s="85" t="n"/>
      <c r="T286" s="84" t="n"/>
    </row>
    <row r="287" ht="15.75" customHeight="1" s="198">
      <c r="I287" s="83" t="n"/>
      <c r="L287" s="21" t="n"/>
      <c r="M287" s="85" t="n"/>
      <c r="T287" s="84" t="n"/>
    </row>
    <row r="288" ht="15.75" customHeight="1" s="198">
      <c r="I288" s="83" t="n"/>
      <c r="L288" s="21" t="n"/>
      <c r="M288" s="85" t="n"/>
      <c r="T288" s="84" t="n"/>
    </row>
    <row r="289" ht="15.75" customHeight="1" s="198">
      <c r="I289" s="83" t="n"/>
      <c r="L289" s="21" t="n"/>
      <c r="M289" s="85" t="n"/>
      <c r="T289" s="84" t="n"/>
    </row>
    <row r="290" ht="15.75" customHeight="1" s="198">
      <c r="I290" s="83" t="n"/>
      <c r="L290" s="21" t="n"/>
      <c r="M290" s="85" t="n"/>
      <c r="T290" s="84" t="n"/>
    </row>
    <row r="291" ht="15.75" customHeight="1" s="198">
      <c r="I291" s="83" t="n"/>
      <c r="L291" s="21" t="n"/>
      <c r="M291" s="85" t="n"/>
      <c r="T291" s="84" t="n"/>
    </row>
    <row r="292" ht="15.75" customHeight="1" s="198">
      <c r="I292" s="83" t="n"/>
      <c r="L292" s="21" t="n"/>
      <c r="M292" s="85" t="n"/>
      <c r="T292" s="84" t="n"/>
    </row>
    <row r="293" ht="15.75" customHeight="1" s="198">
      <c r="I293" s="83" t="n"/>
      <c r="L293" s="21" t="n"/>
      <c r="M293" s="85" t="n"/>
      <c r="T293" s="84" t="n"/>
    </row>
    <row r="294" ht="15.75" customHeight="1" s="198">
      <c r="I294" s="83" t="n"/>
      <c r="L294" s="21" t="n"/>
      <c r="M294" s="85" t="n"/>
      <c r="T294" s="84" t="n"/>
    </row>
    <row r="295" ht="15.75" customHeight="1" s="198">
      <c r="I295" s="83" t="n"/>
      <c r="L295" s="21" t="n"/>
      <c r="M295" s="85" t="n"/>
      <c r="T295" s="84" t="n"/>
    </row>
    <row r="296" ht="15.75" customHeight="1" s="198">
      <c r="I296" s="83" t="n"/>
      <c r="L296" s="21" t="n"/>
      <c r="M296" s="85" t="n"/>
      <c r="T296" s="84" t="n"/>
    </row>
    <row r="297" ht="15.75" customHeight="1" s="198">
      <c r="I297" s="83" t="n"/>
      <c r="L297" s="21" t="n"/>
      <c r="M297" s="85" t="n"/>
      <c r="T297" s="84" t="n"/>
    </row>
    <row r="298" ht="15.75" customHeight="1" s="198">
      <c r="I298" s="83" t="n"/>
      <c r="L298" s="21" t="n"/>
      <c r="M298" s="85" t="n"/>
      <c r="T298" s="84" t="n"/>
    </row>
    <row r="299" ht="15.75" customHeight="1" s="198">
      <c r="I299" s="83" t="n"/>
      <c r="L299" s="21" t="n"/>
      <c r="M299" s="85" t="n"/>
      <c r="T299" s="84" t="n"/>
    </row>
    <row r="300" ht="15.75" customHeight="1" s="198">
      <c r="I300" s="83" t="n"/>
      <c r="L300" s="21" t="n"/>
      <c r="M300" s="85" t="n"/>
      <c r="T300" s="84" t="n"/>
    </row>
    <row r="301" ht="15.75" customHeight="1" s="198">
      <c r="I301" s="83" t="n"/>
      <c r="L301" s="21" t="n"/>
      <c r="M301" s="85" t="n"/>
      <c r="T301" s="84" t="n"/>
    </row>
    <row r="302" ht="15.75" customHeight="1" s="198">
      <c r="I302" s="83" t="n"/>
      <c r="L302" s="21" t="n"/>
      <c r="M302" s="85" t="n"/>
      <c r="T302" s="84" t="n"/>
    </row>
    <row r="303" ht="15.75" customHeight="1" s="198">
      <c r="I303" s="83" t="n"/>
      <c r="L303" s="21" t="n"/>
      <c r="M303" s="85" t="n"/>
      <c r="T303" s="84" t="n"/>
    </row>
    <row r="304" ht="15.75" customHeight="1" s="198">
      <c r="I304" s="83" t="n"/>
      <c r="L304" s="21" t="n"/>
      <c r="M304" s="85" t="n"/>
      <c r="T304" s="84" t="n"/>
    </row>
    <row r="305" ht="15.75" customHeight="1" s="198">
      <c r="I305" s="83" t="n"/>
      <c r="L305" s="21" t="n"/>
      <c r="M305" s="85" t="n"/>
      <c r="T305" s="84" t="n"/>
    </row>
    <row r="306" ht="15.75" customHeight="1" s="198">
      <c r="I306" s="83" t="n"/>
      <c r="L306" s="21" t="n"/>
      <c r="M306" s="85" t="n"/>
      <c r="T306" s="84" t="n"/>
    </row>
    <row r="307" ht="15.75" customHeight="1" s="198">
      <c r="I307" s="83" t="n"/>
      <c r="L307" s="21" t="n"/>
      <c r="M307" s="85" t="n"/>
      <c r="T307" s="84" t="n"/>
    </row>
    <row r="308" ht="15.75" customHeight="1" s="198">
      <c r="I308" s="83" t="n"/>
      <c r="L308" s="21" t="n"/>
      <c r="M308" s="85" t="n"/>
      <c r="T308" s="84" t="n"/>
    </row>
    <row r="309" ht="15.75" customHeight="1" s="198">
      <c r="I309" s="83" t="n"/>
      <c r="L309" s="21" t="n"/>
      <c r="M309" s="85" t="n"/>
      <c r="T309" s="84" t="n"/>
    </row>
    <row r="310" ht="15.75" customHeight="1" s="198">
      <c r="I310" s="83" t="n"/>
      <c r="L310" s="21" t="n"/>
      <c r="M310" s="85" t="n"/>
      <c r="T310" s="84" t="n"/>
    </row>
    <row r="311" ht="15.75" customHeight="1" s="198">
      <c r="I311" s="83" t="n"/>
      <c r="L311" s="21" t="n"/>
      <c r="M311" s="85" t="n"/>
      <c r="T311" s="84" t="n"/>
    </row>
    <row r="312" ht="15.75" customHeight="1" s="198">
      <c r="I312" s="83" t="n"/>
      <c r="L312" s="21" t="n"/>
      <c r="M312" s="85" t="n"/>
      <c r="T312" s="84" t="n"/>
    </row>
    <row r="313" ht="15.75" customHeight="1" s="198">
      <c r="I313" s="83" t="n"/>
      <c r="L313" s="21" t="n"/>
      <c r="M313" s="85" t="n"/>
      <c r="T313" s="84" t="n"/>
    </row>
    <row r="314" ht="15.75" customHeight="1" s="198">
      <c r="I314" s="83" t="n"/>
      <c r="L314" s="21" t="n"/>
      <c r="M314" s="85" t="n"/>
      <c r="T314" s="84" t="n"/>
    </row>
    <row r="315" ht="15.75" customHeight="1" s="198">
      <c r="I315" s="83" t="n"/>
      <c r="L315" s="21" t="n"/>
      <c r="M315" s="85" t="n"/>
      <c r="T315" s="84" t="n"/>
    </row>
    <row r="316" ht="15.75" customHeight="1" s="198">
      <c r="I316" s="83" t="n"/>
      <c r="L316" s="21" t="n"/>
      <c r="M316" s="85" t="n"/>
      <c r="T316" s="84" t="n"/>
    </row>
    <row r="317" ht="15.75" customHeight="1" s="198">
      <c r="I317" s="83" t="n"/>
      <c r="L317" s="21" t="n"/>
      <c r="M317" s="85" t="n"/>
      <c r="T317" s="84" t="n"/>
    </row>
    <row r="318" ht="15.75" customHeight="1" s="198">
      <c r="I318" s="83" t="n"/>
      <c r="L318" s="21" t="n"/>
      <c r="M318" s="85" t="n"/>
      <c r="T318" s="84" t="n"/>
    </row>
    <row r="319" ht="15.75" customHeight="1" s="198">
      <c r="I319" s="83" t="n"/>
      <c r="L319" s="21" t="n"/>
      <c r="M319" s="85" t="n"/>
      <c r="T319" s="84" t="n"/>
    </row>
    <row r="320" ht="15.75" customHeight="1" s="198">
      <c r="I320" s="83" t="n"/>
      <c r="L320" s="21" t="n"/>
      <c r="M320" s="85" t="n"/>
      <c r="T320" s="84" t="n"/>
    </row>
    <row r="321" ht="15.75" customHeight="1" s="198">
      <c r="I321" s="83" t="n"/>
      <c r="L321" s="21" t="n"/>
      <c r="M321" s="85" t="n"/>
      <c r="T321" s="84" t="n"/>
    </row>
    <row r="322" ht="15.75" customHeight="1" s="198">
      <c r="I322" s="83" t="n"/>
      <c r="L322" s="21" t="n"/>
      <c r="M322" s="85" t="n"/>
      <c r="T322" s="84" t="n"/>
    </row>
    <row r="323" ht="15.75" customHeight="1" s="198">
      <c r="I323" s="83" t="n"/>
      <c r="L323" s="21" t="n"/>
      <c r="M323" s="85" t="n"/>
      <c r="T323" s="84" t="n"/>
    </row>
    <row r="324" ht="15.75" customHeight="1" s="198">
      <c r="I324" s="83" t="n"/>
      <c r="L324" s="21" t="n"/>
      <c r="M324" s="85" t="n"/>
      <c r="T324" s="84" t="n"/>
    </row>
    <row r="325" ht="15.75" customHeight="1" s="198">
      <c r="I325" s="83" t="n"/>
      <c r="L325" s="21" t="n"/>
      <c r="M325" s="85" t="n"/>
      <c r="T325" s="84" t="n"/>
    </row>
    <row r="326" ht="15.75" customHeight="1" s="198">
      <c r="I326" s="83" t="n"/>
      <c r="L326" s="21" t="n"/>
      <c r="M326" s="85" t="n"/>
      <c r="T326" s="84" t="n"/>
    </row>
    <row r="327" ht="15.75" customHeight="1" s="198">
      <c r="I327" s="83" t="n"/>
      <c r="L327" s="21" t="n"/>
      <c r="M327" s="85" t="n"/>
      <c r="T327" s="84" t="n"/>
    </row>
    <row r="328" ht="15.75" customHeight="1" s="198">
      <c r="I328" s="83" t="n"/>
      <c r="L328" s="21" t="n"/>
      <c r="M328" s="85" t="n"/>
      <c r="T328" s="84" t="n"/>
    </row>
    <row r="329" ht="15.75" customHeight="1" s="198">
      <c r="I329" s="83" t="n"/>
      <c r="L329" s="21" t="n"/>
      <c r="M329" s="85" t="n"/>
      <c r="T329" s="84" t="n"/>
    </row>
    <row r="330" ht="15.75" customHeight="1" s="198">
      <c r="I330" s="83" t="n"/>
      <c r="L330" s="21" t="n"/>
      <c r="M330" s="85" t="n"/>
      <c r="T330" s="84" t="n"/>
    </row>
    <row r="331" ht="15.75" customHeight="1" s="198">
      <c r="I331" s="83" t="n"/>
      <c r="L331" s="21" t="n"/>
      <c r="M331" s="85" t="n"/>
      <c r="T331" s="84" t="n"/>
    </row>
    <row r="332" ht="15.75" customHeight="1" s="198">
      <c r="I332" s="83" t="n"/>
      <c r="L332" s="21" t="n"/>
      <c r="M332" s="85" t="n"/>
      <c r="T332" s="84" t="n"/>
    </row>
    <row r="333" ht="15.75" customHeight="1" s="198">
      <c r="I333" s="83" t="n"/>
      <c r="L333" s="21" t="n"/>
      <c r="M333" s="85" t="n"/>
      <c r="T333" s="84" t="n"/>
    </row>
    <row r="334" ht="15.75" customHeight="1" s="198">
      <c r="I334" s="83" t="n"/>
      <c r="L334" s="21" t="n"/>
      <c r="M334" s="85" t="n"/>
      <c r="T334" s="84" t="n"/>
    </row>
    <row r="335" ht="15.75" customHeight="1" s="198">
      <c r="I335" s="83" t="n"/>
      <c r="L335" s="21" t="n"/>
      <c r="M335" s="85" t="n"/>
      <c r="T335" s="84" t="n"/>
    </row>
    <row r="336" ht="15.75" customHeight="1" s="198">
      <c r="I336" s="83" t="n"/>
      <c r="L336" s="21" t="n"/>
      <c r="M336" s="85" t="n"/>
      <c r="T336" s="84" t="n"/>
    </row>
    <row r="337" ht="15.75" customHeight="1" s="198">
      <c r="I337" s="83" t="n"/>
      <c r="L337" s="21" t="n"/>
      <c r="M337" s="85" t="n"/>
      <c r="T337" s="84" t="n"/>
    </row>
    <row r="338" ht="15.75" customHeight="1" s="198">
      <c r="I338" s="83" t="n"/>
      <c r="L338" s="21" t="n"/>
      <c r="M338" s="85" t="n"/>
      <c r="T338" s="84" t="n"/>
    </row>
    <row r="339" ht="15.75" customHeight="1" s="198">
      <c r="I339" s="83" t="n"/>
      <c r="L339" s="21" t="n"/>
      <c r="M339" s="85" t="n"/>
      <c r="T339" s="84" t="n"/>
    </row>
    <row r="340" ht="15.75" customHeight="1" s="198">
      <c r="I340" s="83" t="n"/>
      <c r="L340" s="21" t="n"/>
      <c r="M340" s="85" t="n"/>
      <c r="T340" s="84" t="n"/>
    </row>
    <row r="341" ht="15.75" customHeight="1" s="198">
      <c r="I341" s="83" t="n"/>
      <c r="L341" s="21" t="n"/>
      <c r="M341" s="85" t="n"/>
      <c r="T341" s="84" t="n"/>
    </row>
    <row r="342" ht="15.75" customHeight="1" s="198">
      <c r="I342" s="83" t="n"/>
      <c r="L342" s="21" t="n"/>
      <c r="M342" s="85" t="n"/>
      <c r="T342" s="84" t="n"/>
    </row>
    <row r="343" ht="15.75" customHeight="1" s="198">
      <c r="I343" s="83" t="n"/>
      <c r="L343" s="21" t="n"/>
      <c r="M343" s="85" t="n"/>
      <c r="T343" s="84" t="n"/>
    </row>
    <row r="344" ht="15.75" customHeight="1" s="198">
      <c r="I344" s="83" t="n"/>
      <c r="L344" s="21" t="n"/>
      <c r="M344" s="85" t="n"/>
      <c r="T344" s="84" t="n"/>
    </row>
    <row r="345" ht="15.75" customHeight="1" s="198">
      <c r="I345" s="83" t="n"/>
      <c r="L345" s="21" t="n"/>
      <c r="M345" s="85" t="n"/>
      <c r="T345" s="84" t="n"/>
    </row>
    <row r="346" ht="15.75" customHeight="1" s="198">
      <c r="I346" s="83" t="n"/>
      <c r="L346" s="21" t="n"/>
      <c r="M346" s="85" t="n"/>
      <c r="T346" s="84" t="n"/>
    </row>
    <row r="347" ht="15.75" customHeight="1" s="198">
      <c r="I347" s="83" t="n"/>
      <c r="L347" s="21" t="n"/>
      <c r="M347" s="85" t="n"/>
      <c r="T347" s="84" t="n"/>
    </row>
    <row r="348" ht="15.75" customHeight="1" s="198">
      <c r="I348" s="83" t="n"/>
      <c r="L348" s="21" t="n"/>
      <c r="M348" s="85" t="n"/>
      <c r="T348" s="84" t="n"/>
    </row>
    <row r="349" ht="15.75" customHeight="1" s="198">
      <c r="I349" s="83" t="n"/>
      <c r="L349" s="21" t="n"/>
      <c r="M349" s="85" t="n"/>
      <c r="T349" s="84" t="n"/>
    </row>
    <row r="350" ht="15.75" customHeight="1" s="198">
      <c r="I350" s="83" t="n"/>
      <c r="L350" s="21" t="n"/>
      <c r="M350" s="85" t="n"/>
      <c r="T350" s="84" t="n"/>
    </row>
    <row r="351" ht="15.75" customHeight="1" s="198">
      <c r="I351" s="83" t="n"/>
      <c r="L351" s="21" t="n"/>
      <c r="M351" s="85" t="n"/>
      <c r="T351" s="84" t="n"/>
    </row>
    <row r="352" ht="15.75" customHeight="1" s="198">
      <c r="I352" s="83" t="n"/>
      <c r="L352" s="21" t="n"/>
      <c r="M352" s="85" t="n"/>
      <c r="T352" s="84" t="n"/>
    </row>
    <row r="353" ht="15.75" customHeight="1" s="198">
      <c r="I353" s="83" t="n"/>
      <c r="L353" s="21" t="n"/>
      <c r="M353" s="85" t="n"/>
      <c r="T353" s="84" t="n"/>
    </row>
    <row r="354" ht="15.75" customHeight="1" s="198">
      <c r="I354" s="83" t="n"/>
      <c r="L354" s="21" t="n"/>
      <c r="M354" s="85" t="n"/>
      <c r="T354" s="84" t="n"/>
    </row>
    <row r="355" ht="15.75" customHeight="1" s="198">
      <c r="I355" s="83" t="n"/>
      <c r="L355" s="21" t="n"/>
      <c r="M355" s="85" t="n"/>
      <c r="T355" s="84" t="n"/>
    </row>
    <row r="356" ht="15.75" customHeight="1" s="198">
      <c r="I356" s="83" t="n"/>
      <c r="L356" s="21" t="n"/>
      <c r="M356" s="85" t="n"/>
      <c r="T356" s="84" t="n"/>
    </row>
    <row r="357" ht="15.75" customHeight="1" s="198">
      <c r="I357" s="83" t="n"/>
      <c r="L357" s="21" t="n"/>
      <c r="M357" s="85" t="n"/>
      <c r="T357" s="84" t="n"/>
    </row>
    <row r="358" ht="15.75" customHeight="1" s="198">
      <c r="I358" s="83" t="n"/>
      <c r="L358" s="21" t="n"/>
      <c r="M358" s="85" t="n"/>
      <c r="T358" s="84" t="n"/>
    </row>
    <row r="359" ht="15.75" customHeight="1" s="198">
      <c r="I359" s="83" t="n"/>
      <c r="L359" s="21" t="n"/>
      <c r="M359" s="85" t="n"/>
      <c r="T359" s="84" t="n"/>
    </row>
    <row r="360" ht="15.75" customHeight="1" s="198">
      <c r="I360" s="83" t="n"/>
      <c r="L360" s="21" t="n"/>
      <c r="M360" s="85" t="n"/>
      <c r="T360" s="84" t="n"/>
    </row>
    <row r="361" ht="15.75" customHeight="1" s="198">
      <c r="I361" s="83" t="n"/>
      <c r="L361" s="21" t="n"/>
      <c r="M361" s="85" t="n"/>
      <c r="T361" s="84" t="n"/>
    </row>
    <row r="362" ht="15.75" customHeight="1" s="198">
      <c r="I362" s="83" t="n"/>
      <c r="L362" s="21" t="n"/>
      <c r="M362" s="85" t="n"/>
      <c r="T362" s="84" t="n"/>
    </row>
    <row r="363" ht="15.75" customHeight="1" s="198">
      <c r="I363" s="83" t="n"/>
      <c r="L363" s="21" t="n"/>
      <c r="M363" s="85" t="n"/>
      <c r="T363" s="84" t="n"/>
    </row>
    <row r="364" ht="15.75" customHeight="1" s="198">
      <c r="I364" s="83" t="n"/>
      <c r="L364" s="21" t="n"/>
      <c r="M364" s="85" t="n"/>
      <c r="T364" s="84" t="n"/>
    </row>
    <row r="365" ht="15.75" customHeight="1" s="198">
      <c r="I365" s="83" t="n"/>
      <c r="L365" s="21" t="n"/>
      <c r="M365" s="85" t="n"/>
      <c r="T365" s="84" t="n"/>
    </row>
    <row r="366" ht="15.75" customHeight="1" s="198">
      <c r="I366" s="83" t="n"/>
      <c r="L366" s="21" t="n"/>
      <c r="M366" s="85" t="n"/>
      <c r="T366" s="84" t="n"/>
    </row>
    <row r="367" ht="15.75" customHeight="1" s="198">
      <c r="I367" s="83" t="n"/>
      <c r="L367" s="21" t="n"/>
      <c r="M367" s="85" t="n"/>
      <c r="T367" s="84" t="n"/>
    </row>
    <row r="368" ht="15.75" customHeight="1" s="198">
      <c r="I368" s="83" t="n"/>
      <c r="L368" s="21" t="n"/>
      <c r="M368" s="85" t="n"/>
      <c r="T368" s="84" t="n"/>
    </row>
    <row r="369" ht="15.75" customHeight="1" s="198">
      <c r="I369" s="83" t="n"/>
      <c r="L369" s="21" t="n"/>
      <c r="M369" s="85" t="n"/>
      <c r="T369" s="84" t="n"/>
    </row>
    <row r="370" ht="15.75" customHeight="1" s="198">
      <c r="I370" s="83" t="n"/>
      <c r="L370" s="21" t="n"/>
      <c r="M370" s="85" t="n"/>
      <c r="T370" s="84" t="n"/>
    </row>
    <row r="371" ht="15.75" customHeight="1" s="198">
      <c r="I371" s="83" t="n"/>
      <c r="L371" s="21" t="n"/>
      <c r="M371" s="85" t="n"/>
      <c r="T371" s="84" t="n"/>
    </row>
    <row r="372" ht="15.75" customHeight="1" s="198">
      <c r="I372" s="83" t="n"/>
      <c r="L372" s="21" t="n"/>
      <c r="M372" s="85" t="n"/>
      <c r="T372" s="84" t="n"/>
    </row>
    <row r="373" ht="15.75" customHeight="1" s="198">
      <c r="I373" s="83" t="n"/>
      <c r="L373" s="21" t="n"/>
      <c r="M373" s="85" t="n"/>
      <c r="T373" s="84" t="n"/>
    </row>
    <row r="374" ht="15.75" customHeight="1" s="198">
      <c r="I374" s="83" t="n"/>
      <c r="L374" s="21" t="n"/>
      <c r="M374" s="85" t="n"/>
      <c r="T374" s="84" t="n"/>
    </row>
    <row r="375" ht="15.75" customHeight="1" s="198">
      <c r="I375" s="83" t="n"/>
      <c r="L375" s="21" t="n"/>
      <c r="M375" s="85" t="n"/>
      <c r="T375" s="84" t="n"/>
    </row>
    <row r="376" ht="15.75" customHeight="1" s="198">
      <c r="I376" s="83" t="n"/>
      <c r="L376" s="21" t="n"/>
      <c r="M376" s="85" t="n"/>
      <c r="T376" s="84" t="n"/>
    </row>
    <row r="377" ht="15.75" customHeight="1" s="198">
      <c r="I377" s="83" t="n"/>
      <c r="L377" s="21" t="n"/>
      <c r="M377" s="85" t="n"/>
      <c r="T377" s="84" t="n"/>
    </row>
    <row r="378" ht="15.75" customHeight="1" s="198">
      <c r="I378" s="83" t="n"/>
      <c r="L378" s="21" t="n"/>
      <c r="M378" s="85" t="n"/>
      <c r="T378" s="84" t="n"/>
    </row>
    <row r="379" ht="15.75" customHeight="1" s="198">
      <c r="I379" s="83" t="n"/>
      <c r="L379" s="21" t="n"/>
      <c r="M379" s="85" t="n"/>
      <c r="T379" s="84" t="n"/>
    </row>
    <row r="380" ht="15.75" customHeight="1" s="198">
      <c r="I380" s="83" t="n"/>
      <c r="L380" s="21" t="n"/>
      <c r="M380" s="85" t="n"/>
      <c r="T380" s="84" t="n"/>
    </row>
    <row r="381" ht="15.75" customHeight="1" s="198">
      <c r="I381" s="83" t="n"/>
      <c r="L381" s="21" t="n"/>
      <c r="M381" s="85" t="n"/>
      <c r="T381" s="84" t="n"/>
    </row>
    <row r="382" ht="15.75" customHeight="1" s="198">
      <c r="I382" s="83" t="n"/>
      <c r="L382" s="21" t="n"/>
      <c r="M382" s="85" t="n"/>
      <c r="T382" s="84" t="n"/>
    </row>
    <row r="383" ht="15.75" customHeight="1" s="198">
      <c r="I383" s="83" t="n"/>
      <c r="L383" s="21" t="n"/>
      <c r="M383" s="85" t="n"/>
      <c r="T383" s="84" t="n"/>
    </row>
    <row r="384" ht="15.75" customHeight="1" s="198">
      <c r="I384" s="83" t="n"/>
      <c r="L384" s="21" t="n"/>
      <c r="M384" s="85" t="n"/>
      <c r="T384" s="84" t="n"/>
    </row>
    <row r="385" ht="15.75" customHeight="1" s="198">
      <c r="I385" s="83" t="n"/>
      <c r="L385" s="21" t="n"/>
      <c r="M385" s="85" t="n"/>
      <c r="T385" s="84" t="n"/>
    </row>
    <row r="386" ht="15.75" customHeight="1" s="198">
      <c r="I386" s="83" t="n"/>
      <c r="L386" s="21" t="n"/>
      <c r="M386" s="85" t="n"/>
      <c r="T386" s="84" t="n"/>
    </row>
    <row r="387" ht="15.75" customHeight="1" s="198">
      <c r="I387" s="83" t="n"/>
      <c r="L387" s="21" t="n"/>
      <c r="M387" s="85" t="n"/>
      <c r="T387" s="84" t="n"/>
    </row>
    <row r="388" ht="15.75" customHeight="1" s="198">
      <c r="I388" s="83" t="n"/>
      <c r="L388" s="21" t="n"/>
      <c r="M388" s="85" t="n"/>
      <c r="T388" s="84" t="n"/>
    </row>
    <row r="389" ht="15.75" customHeight="1" s="198">
      <c r="I389" s="83" t="n"/>
      <c r="L389" s="21" t="n"/>
      <c r="M389" s="85" t="n"/>
      <c r="T389" s="84" t="n"/>
    </row>
    <row r="390" ht="15.75" customHeight="1" s="198">
      <c r="I390" s="83" t="n"/>
      <c r="L390" s="21" t="n"/>
      <c r="M390" s="85" t="n"/>
      <c r="T390" s="84" t="n"/>
    </row>
    <row r="391" ht="15.75" customHeight="1" s="198">
      <c r="I391" s="83" t="n"/>
      <c r="L391" s="21" t="n"/>
      <c r="M391" s="85" t="n"/>
      <c r="T391" s="84" t="n"/>
    </row>
    <row r="392" ht="15.75" customHeight="1" s="198">
      <c r="I392" s="83" t="n"/>
      <c r="L392" s="21" t="n"/>
      <c r="M392" s="85" t="n"/>
      <c r="T392" s="84" t="n"/>
    </row>
    <row r="393" ht="15.75" customHeight="1" s="198">
      <c r="I393" s="83" t="n"/>
      <c r="L393" s="21" t="n"/>
      <c r="M393" s="85" t="n"/>
      <c r="T393" s="84" t="n"/>
    </row>
    <row r="394" ht="15.75" customHeight="1" s="198">
      <c r="I394" s="83" t="n"/>
      <c r="L394" s="21" t="n"/>
      <c r="M394" s="85" t="n"/>
      <c r="T394" s="84" t="n"/>
    </row>
    <row r="395" ht="15.75" customHeight="1" s="198">
      <c r="I395" s="83" t="n"/>
      <c r="L395" s="21" t="n"/>
      <c r="M395" s="85" t="n"/>
      <c r="T395" s="84" t="n"/>
    </row>
    <row r="396" ht="15.75" customHeight="1" s="198">
      <c r="I396" s="83" t="n"/>
      <c r="L396" s="21" t="n"/>
      <c r="M396" s="85" t="n"/>
      <c r="T396" s="84" t="n"/>
    </row>
    <row r="397" ht="15.75" customHeight="1" s="198">
      <c r="I397" s="83" t="n"/>
      <c r="L397" s="21" t="n"/>
      <c r="M397" s="85" t="n"/>
      <c r="T397" s="84" t="n"/>
    </row>
    <row r="398" ht="15.75" customHeight="1" s="198">
      <c r="I398" s="83" t="n"/>
      <c r="L398" s="21" t="n"/>
      <c r="M398" s="85" t="n"/>
      <c r="T398" s="84" t="n"/>
    </row>
    <row r="399" ht="15.75" customHeight="1" s="198">
      <c r="I399" s="83" t="n"/>
      <c r="L399" s="21" t="n"/>
      <c r="M399" s="85" t="n"/>
      <c r="T399" s="84" t="n"/>
    </row>
    <row r="400" ht="15.75" customHeight="1" s="198">
      <c r="I400" s="83" t="n"/>
      <c r="L400" s="21" t="n"/>
      <c r="M400" s="85" t="n"/>
      <c r="T400" s="84" t="n"/>
    </row>
    <row r="401" ht="15.75" customHeight="1" s="198">
      <c r="I401" s="83" t="n"/>
      <c r="L401" s="21" t="n"/>
      <c r="M401" s="85" t="n"/>
      <c r="T401" s="84" t="n"/>
    </row>
    <row r="402" ht="15.75" customHeight="1" s="198">
      <c r="I402" s="83" t="n"/>
      <c r="L402" s="21" t="n"/>
      <c r="M402" s="85" t="n"/>
      <c r="T402" s="84" t="n"/>
    </row>
    <row r="403" ht="15.75" customHeight="1" s="198">
      <c r="I403" s="83" t="n"/>
      <c r="L403" s="21" t="n"/>
      <c r="M403" s="85" t="n"/>
      <c r="T403" s="84" t="n"/>
    </row>
    <row r="404" ht="15.75" customHeight="1" s="198">
      <c r="I404" s="83" t="n"/>
      <c r="L404" s="21" t="n"/>
      <c r="M404" s="85" t="n"/>
      <c r="T404" s="84" t="n"/>
    </row>
    <row r="405" ht="15.75" customHeight="1" s="198">
      <c r="I405" s="83" t="n"/>
      <c r="L405" s="21" t="n"/>
      <c r="M405" s="85" t="n"/>
      <c r="T405" s="84" t="n"/>
    </row>
    <row r="406" ht="15.75" customHeight="1" s="198">
      <c r="I406" s="83" t="n"/>
      <c r="L406" s="21" t="n"/>
      <c r="M406" s="85" t="n"/>
      <c r="T406" s="84" t="n"/>
    </row>
    <row r="407" ht="15.75" customHeight="1" s="198">
      <c r="I407" s="83" t="n"/>
      <c r="L407" s="21" t="n"/>
      <c r="M407" s="85" t="n"/>
      <c r="T407" s="84" t="n"/>
    </row>
    <row r="408" ht="15.75" customHeight="1" s="198">
      <c r="I408" s="83" t="n"/>
      <c r="L408" s="21" t="n"/>
      <c r="M408" s="85" t="n"/>
      <c r="T408" s="84" t="n"/>
    </row>
    <row r="409" ht="15.75" customHeight="1" s="198">
      <c r="I409" s="83" t="n"/>
      <c r="L409" s="21" t="n"/>
      <c r="M409" s="85" t="n"/>
      <c r="T409" s="84" t="n"/>
    </row>
    <row r="410" ht="15.75" customHeight="1" s="198">
      <c r="I410" s="83" t="n"/>
      <c r="L410" s="21" t="n"/>
      <c r="M410" s="85" t="n"/>
      <c r="T410" s="84" t="n"/>
    </row>
    <row r="411" ht="15.75" customHeight="1" s="198">
      <c r="I411" s="83" t="n"/>
      <c r="L411" s="21" t="n"/>
      <c r="M411" s="85" t="n"/>
      <c r="T411" s="84" t="n"/>
    </row>
    <row r="412" ht="15.75" customHeight="1" s="198">
      <c r="I412" s="83" t="n"/>
      <c r="L412" s="21" t="n"/>
      <c r="M412" s="85" t="n"/>
      <c r="T412" s="84" t="n"/>
    </row>
    <row r="413" ht="15.75" customHeight="1" s="198">
      <c r="I413" s="83" t="n"/>
      <c r="L413" s="21" t="n"/>
      <c r="M413" s="85" t="n"/>
      <c r="T413" s="84" t="n"/>
    </row>
    <row r="414" ht="15.75" customHeight="1" s="198">
      <c r="I414" s="83" t="n"/>
      <c r="L414" s="21" t="n"/>
      <c r="M414" s="85" t="n"/>
      <c r="T414" s="84" t="n"/>
    </row>
    <row r="415" ht="15.75" customHeight="1" s="198">
      <c r="I415" s="83" t="n"/>
      <c r="L415" s="21" t="n"/>
      <c r="M415" s="85" t="n"/>
      <c r="T415" s="84" t="n"/>
    </row>
    <row r="416" ht="15.75" customHeight="1" s="198">
      <c r="I416" s="83" t="n"/>
      <c r="L416" s="21" t="n"/>
      <c r="M416" s="85" t="n"/>
      <c r="T416" s="84" t="n"/>
    </row>
    <row r="417" ht="15.75" customHeight="1" s="198">
      <c r="I417" s="83" t="n"/>
      <c r="L417" s="21" t="n"/>
      <c r="M417" s="85" t="n"/>
      <c r="T417" s="84" t="n"/>
    </row>
    <row r="418" ht="15.75" customHeight="1" s="198">
      <c r="I418" s="83" t="n"/>
      <c r="L418" s="21" t="n"/>
      <c r="M418" s="85" t="n"/>
      <c r="T418" s="84" t="n"/>
    </row>
    <row r="419" ht="15.75" customHeight="1" s="198">
      <c r="I419" s="83" t="n"/>
      <c r="L419" s="21" t="n"/>
      <c r="M419" s="85" t="n"/>
      <c r="T419" s="84" t="n"/>
    </row>
    <row r="420" ht="15.75" customHeight="1" s="198">
      <c r="I420" s="83" t="n"/>
      <c r="L420" s="21" t="n"/>
      <c r="M420" s="85" t="n"/>
      <c r="T420" s="84" t="n"/>
    </row>
    <row r="421" ht="15.75" customHeight="1" s="198">
      <c r="I421" s="83" t="n"/>
      <c r="L421" s="21" t="n"/>
      <c r="M421" s="85" t="n"/>
      <c r="T421" s="84" t="n"/>
    </row>
    <row r="422" ht="15.75" customHeight="1" s="198">
      <c r="I422" s="83" t="n"/>
      <c r="L422" s="21" t="n"/>
      <c r="M422" s="85" t="n"/>
      <c r="T422" s="84" t="n"/>
    </row>
    <row r="423" ht="15.75" customHeight="1" s="198">
      <c r="I423" s="83" t="n"/>
      <c r="L423" s="21" t="n"/>
      <c r="M423" s="85" t="n"/>
      <c r="T423" s="84" t="n"/>
    </row>
    <row r="424" ht="15.75" customHeight="1" s="198">
      <c r="I424" s="83" t="n"/>
      <c r="L424" s="21" t="n"/>
      <c r="M424" s="85" t="n"/>
      <c r="T424" s="84" t="n"/>
    </row>
    <row r="425" ht="15.75" customHeight="1" s="198">
      <c r="I425" s="83" t="n"/>
      <c r="L425" s="21" t="n"/>
      <c r="M425" s="85" t="n"/>
      <c r="T425" s="84" t="n"/>
    </row>
    <row r="426" ht="15.75" customHeight="1" s="198">
      <c r="I426" s="83" t="n"/>
      <c r="L426" s="21" t="n"/>
      <c r="M426" s="85" t="n"/>
      <c r="T426" s="84" t="n"/>
    </row>
    <row r="427" ht="15.75" customHeight="1" s="198">
      <c r="I427" s="83" t="n"/>
      <c r="L427" s="21" t="n"/>
      <c r="M427" s="85" t="n"/>
      <c r="T427" s="84" t="n"/>
    </row>
    <row r="428" ht="15.75" customHeight="1" s="198">
      <c r="I428" s="83" t="n"/>
      <c r="L428" s="21" t="n"/>
      <c r="M428" s="85" t="n"/>
      <c r="T428" s="84" t="n"/>
    </row>
    <row r="429" ht="15.75" customHeight="1" s="198">
      <c r="I429" s="83" t="n"/>
      <c r="L429" s="21" t="n"/>
      <c r="M429" s="85" t="n"/>
      <c r="T429" s="84" t="n"/>
    </row>
    <row r="430" ht="15.75" customHeight="1" s="198">
      <c r="I430" s="83" t="n"/>
      <c r="L430" s="21" t="n"/>
      <c r="M430" s="85" t="n"/>
      <c r="T430" s="84" t="n"/>
    </row>
    <row r="431" ht="15.75" customHeight="1" s="198">
      <c r="I431" s="83" t="n"/>
      <c r="L431" s="21" t="n"/>
      <c r="M431" s="85" t="n"/>
      <c r="T431" s="84" t="n"/>
    </row>
    <row r="432" ht="15.75" customHeight="1" s="198">
      <c r="I432" s="83" t="n"/>
      <c r="L432" s="21" t="n"/>
      <c r="M432" s="85" t="n"/>
      <c r="T432" s="84" t="n"/>
    </row>
    <row r="433" ht="15.75" customHeight="1" s="198">
      <c r="I433" s="83" t="n"/>
      <c r="L433" s="21" t="n"/>
      <c r="M433" s="85" t="n"/>
      <c r="T433" s="84" t="n"/>
    </row>
    <row r="434" ht="15.75" customHeight="1" s="198">
      <c r="I434" s="83" t="n"/>
      <c r="L434" s="21" t="n"/>
      <c r="M434" s="85" t="n"/>
      <c r="T434" s="84" t="n"/>
    </row>
    <row r="435" ht="15.75" customHeight="1" s="198">
      <c r="I435" s="83" t="n"/>
      <c r="L435" s="21" t="n"/>
      <c r="M435" s="85" t="n"/>
      <c r="T435" s="84" t="n"/>
    </row>
    <row r="436" ht="15.75" customHeight="1" s="198">
      <c r="I436" s="83" t="n"/>
      <c r="L436" s="21" t="n"/>
      <c r="M436" s="85" t="n"/>
      <c r="T436" s="84" t="n"/>
    </row>
    <row r="437" ht="15.75" customHeight="1" s="198">
      <c r="I437" s="83" t="n"/>
      <c r="L437" s="21" t="n"/>
      <c r="M437" s="85" t="n"/>
      <c r="T437" s="84" t="n"/>
    </row>
    <row r="438" ht="15.75" customHeight="1" s="198">
      <c r="I438" s="83" t="n"/>
      <c r="L438" s="21" t="n"/>
      <c r="M438" s="85" t="n"/>
      <c r="T438" s="84" t="n"/>
    </row>
    <row r="439" ht="15.75" customHeight="1" s="198">
      <c r="I439" s="83" t="n"/>
      <c r="L439" s="21" t="n"/>
      <c r="M439" s="85" t="n"/>
      <c r="T439" s="84" t="n"/>
    </row>
    <row r="440" ht="15.75" customHeight="1" s="198">
      <c r="I440" s="83" t="n"/>
      <c r="L440" s="21" t="n"/>
      <c r="M440" s="85" t="n"/>
      <c r="T440" s="84" t="n"/>
    </row>
    <row r="441" ht="15.75" customHeight="1" s="198">
      <c r="I441" s="83" t="n"/>
      <c r="L441" s="21" t="n"/>
      <c r="M441" s="85" t="n"/>
      <c r="T441" s="84" t="n"/>
    </row>
    <row r="442" ht="15.75" customHeight="1" s="198">
      <c r="I442" s="83" t="n"/>
      <c r="L442" s="21" t="n"/>
      <c r="M442" s="85" t="n"/>
      <c r="T442" s="84" t="n"/>
    </row>
    <row r="443" ht="15.75" customHeight="1" s="198">
      <c r="I443" s="83" t="n"/>
      <c r="L443" s="21" t="n"/>
      <c r="M443" s="85" t="n"/>
      <c r="T443" s="84" t="n"/>
    </row>
    <row r="444" ht="15.75" customHeight="1" s="198">
      <c r="I444" s="83" t="n"/>
      <c r="L444" s="21" t="n"/>
      <c r="M444" s="85" t="n"/>
      <c r="T444" s="84" t="n"/>
    </row>
    <row r="445" ht="15.75" customHeight="1" s="198">
      <c r="I445" s="83" t="n"/>
      <c r="L445" s="21" t="n"/>
      <c r="M445" s="85" t="n"/>
      <c r="T445" s="84" t="n"/>
    </row>
    <row r="446" ht="15.75" customHeight="1" s="198">
      <c r="I446" s="83" t="n"/>
      <c r="L446" s="21" t="n"/>
      <c r="M446" s="85" t="n"/>
      <c r="T446" s="84" t="n"/>
    </row>
    <row r="447" ht="15.75" customHeight="1" s="198">
      <c r="I447" s="83" t="n"/>
      <c r="L447" s="21" t="n"/>
      <c r="M447" s="85" t="n"/>
      <c r="T447" s="84" t="n"/>
    </row>
    <row r="448" ht="15.75" customHeight="1" s="198">
      <c r="I448" s="83" t="n"/>
      <c r="L448" s="21" t="n"/>
      <c r="M448" s="85" t="n"/>
      <c r="T448" s="84" t="n"/>
    </row>
    <row r="449" ht="15.75" customHeight="1" s="198">
      <c r="I449" s="83" t="n"/>
      <c r="L449" s="21" t="n"/>
      <c r="M449" s="85" t="n"/>
      <c r="T449" s="84" t="n"/>
    </row>
    <row r="450" ht="15.75" customHeight="1" s="198">
      <c r="I450" s="83" t="n"/>
      <c r="L450" s="21" t="n"/>
      <c r="M450" s="85" t="n"/>
      <c r="T450" s="84" t="n"/>
    </row>
    <row r="451" ht="15.75" customHeight="1" s="198">
      <c r="I451" s="83" t="n"/>
      <c r="L451" s="21" t="n"/>
      <c r="M451" s="85" t="n"/>
      <c r="T451" s="84" t="n"/>
    </row>
    <row r="452" ht="15.75" customHeight="1" s="198">
      <c r="I452" s="83" t="n"/>
      <c r="L452" s="21" t="n"/>
      <c r="M452" s="85" t="n"/>
      <c r="T452" s="84" t="n"/>
    </row>
    <row r="453" ht="15.75" customHeight="1" s="198">
      <c r="I453" s="83" t="n"/>
      <c r="L453" s="21" t="n"/>
      <c r="M453" s="85" t="n"/>
      <c r="T453" s="84" t="n"/>
    </row>
    <row r="454" ht="15.75" customHeight="1" s="198">
      <c r="I454" s="83" t="n"/>
      <c r="L454" s="21" t="n"/>
      <c r="M454" s="85" t="n"/>
      <c r="T454" s="84" t="n"/>
    </row>
    <row r="455" ht="15.75" customHeight="1" s="198">
      <c r="I455" s="83" t="n"/>
      <c r="L455" s="21" t="n"/>
      <c r="M455" s="85" t="n"/>
      <c r="T455" s="84" t="n"/>
    </row>
    <row r="456" ht="15.75" customHeight="1" s="198">
      <c r="I456" s="83" t="n"/>
      <c r="L456" s="21" t="n"/>
      <c r="M456" s="85" t="n"/>
      <c r="T456" s="84" t="n"/>
    </row>
    <row r="457" ht="15.75" customHeight="1" s="198">
      <c r="I457" s="83" t="n"/>
      <c r="L457" s="21" t="n"/>
      <c r="M457" s="85" t="n"/>
      <c r="T457" s="84" t="n"/>
    </row>
    <row r="458" ht="15.75" customHeight="1" s="198">
      <c r="I458" s="83" t="n"/>
      <c r="L458" s="21" t="n"/>
      <c r="M458" s="85" t="n"/>
      <c r="T458" s="84" t="n"/>
    </row>
    <row r="459" ht="15.75" customHeight="1" s="198">
      <c r="I459" s="83" t="n"/>
      <c r="L459" s="21" t="n"/>
      <c r="M459" s="85" t="n"/>
      <c r="T459" s="84" t="n"/>
    </row>
    <row r="460" ht="15.75" customHeight="1" s="198">
      <c r="I460" s="83" t="n"/>
      <c r="L460" s="21" t="n"/>
      <c r="M460" s="85" t="n"/>
      <c r="T460" s="84" t="n"/>
    </row>
    <row r="461" ht="15.75" customHeight="1" s="198">
      <c r="I461" s="83" t="n"/>
      <c r="L461" s="21" t="n"/>
      <c r="M461" s="85" t="n"/>
      <c r="T461" s="84" t="n"/>
    </row>
    <row r="462" ht="15.75" customHeight="1" s="198">
      <c r="I462" s="83" t="n"/>
      <c r="L462" s="21" t="n"/>
      <c r="M462" s="85" t="n"/>
      <c r="T462" s="84" t="n"/>
    </row>
    <row r="463" ht="15.75" customHeight="1" s="198">
      <c r="I463" s="83" t="n"/>
      <c r="L463" s="21" t="n"/>
      <c r="M463" s="85" t="n"/>
      <c r="T463" s="84" t="n"/>
    </row>
    <row r="464" ht="15.75" customHeight="1" s="198">
      <c r="I464" s="83" t="n"/>
      <c r="L464" s="21" t="n"/>
      <c r="M464" s="85" t="n"/>
      <c r="T464" s="84" t="n"/>
    </row>
    <row r="465" ht="15.75" customHeight="1" s="198">
      <c r="I465" s="83" t="n"/>
      <c r="L465" s="21" t="n"/>
      <c r="M465" s="85" t="n"/>
      <c r="T465" s="84" t="n"/>
    </row>
    <row r="466" ht="15.75" customHeight="1" s="198">
      <c r="I466" s="83" t="n"/>
      <c r="L466" s="21" t="n"/>
      <c r="M466" s="85" t="n"/>
      <c r="T466" s="84" t="n"/>
    </row>
    <row r="467" ht="15.75" customHeight="1" s="198">
      <c r="I467" s="83" t="n"/>
      <c r="L467" s="21" t="n"/>
      <c r="M467" s="85" t="n"/>
      <c r="T467" s="84" t="n"/>
    </row>
    <row r="468" ht="15.75" customHeight="1" s="198">
      <c r="I468" s="83" t="n"/>
      <c r="L468" s="21" t="n"/>
      <c r="M468" s="85" t="n"/>
      <c r="T468" s="84" t="n"/>
    </row>
    <row r="469" ht="15.75" customHeight="1" s="198">
      <c r="I469" s="83" t="n"/>
      <c r="L469" s="21" t="n"/>
      <c r="M469" s="85" t="n"/>
      <c r="T469" s="84" t="n"/>
    </row>
    <row r="470" ht="15.75" customHeight="1" s="198">
      <c r="I470" s="83" t="n"/>
      <c r="L470" s="21" t="n"/>
      <c r="M470" s="85" t="n"/>
      <c r="T470" s="84" t="n"/>
    </row>
    <row r="471" ht="15.75" customHeight="1" s="198">
      <c r="I471" s="83" t="n"/>
      <c r="L471" s="21" t="n"/>
      <c r="M471" s="85" t="n"/>
      <c r="T471" s="84" t="n"/>
    </row>
    <row r="472" ht="15.75" customHeight="1" s="198">
      <c r="I472" s="83" t="n"/>
      <c r="L472" s="21" t="n"/>
      <c r="M472" s="85" t="n"/>
      <c r="T472" s="84" t="n"/>
    </row>
    <row r="473" ht="15.75" customHeight="1" s="198">
      <c r="I473" s="83" t="n"/>
      <c r="L473" s="21" t="n"/>
      <c r="M473" s="85" t="n"/>
      <c r="T473" s="84" t="n"/>
    </row>
    <row r="474" ht="15.75" customHeight="1" s="198">
      <c r="I474" s="83" t="n"/>
      <c r="L474" s="21" t="n"/>
      <c r="M474" s="85" t="n"/>
      <c r="T474" s="84" t="n"/>
    </row>
    <row r="475" ht="15.75" customHeight="1" s="198">
      <c r="I475" s="83" t="n"/>
      <c r="L475" s="21" t="n"/>
      <c r="M475" s="85" t="n"/>
      <c r="T475" s="84" t="n"/>
    </row>
    <row r="476" ht="15.75" customHeight="1" s="198">
      <c r="I476" s="83" t="n"/>
      <c r="L476" s="21" t="n"/>
      <c r="M476" s="85" t="n"/>
      <c r="T476" s="84" t="n"/>
    </row>
    <row r="477" ht="15.75" customHeight="1" s="198">
      <c r="I477" s="83" t="n"/>
      <c r="L477" s="21" t="n"/>
      <c r="M477" s="85" t="n"/>
      <c r="T477" s="84" t="n"/>
    </row>
    <row r="478" ht="15.75" customHeight="1" s="198">
      <c r="I478" s="83" t="n"/>
      <c r="L478" s="21" t="n"/>
      <c r="M478" s="85" t="n"/>
      <c r="T478" s="84" t="n"/>
    </row>
    <row r="479" ht="15.75" customHeight="1" s="198">
      <c r="I479" s="83" t="n"/>
      <c r="L479" s="21" t="n"/>
      <c r="M479" s="85" t="n"/>
      <c r="T479" s="84" t="n"/>
    </row>
    <row r="480" ht="15.75" customHeight="1" s="198">
      <c r="I480" s="83" t="n"/>
      <c r="L480" s="21" t="n"/>
      <c r="M480" s="85" t="n"/>
      <c r="T480" s="84" t="n"/>
    </row>
    <row r="481" ht="15.75" customHeight="1" s="198">
      <c r="I481" s="83" t="n"/>
      <c r="L481" s="21" t="n"/>
      <c r="M481" s="85" t="n"/>
      <c r="T481" s="84" t="n"/>
    </row>
    <row r="482" ht="15.75" customHeight="1" s="198">
      <c r="I482" s="83" t="n"/>
      <c r="L482" s="21" t="n"/>
      <c r="M482" s="85" t="n"/>
      <c r="T482" s="84" t="n"/>
    </row>
    <row r="483" ht="15.75" customHeight="1" s="198">
      <c r="I483" s="83" t="n"/>
      <c r="L483" s="21" t="n"/>
      <c r="M483" s="85" t="n"/>
      <c r="T483" s="84" t="n"/>
    </row>
    <row r="484" ht="15.75" customHeight="1" s="198">
      <c r="I484" s="83" t="n"/>
      <c r="L484" s="21" t="n"/>
      <c r="M484" s="85" t="n"/>
      <c r="T484" s="84" t="n"/>
    </row>
    <row r="485" ht="15.75" customHeight="1" s="198">
      <c r="I485" s="83" t="n"/>
      <c r="L485" s="21" t="n"/>
      <c r="M485" s="85" t="n"/>
      <c r="T485" s="84" t="n"/>
    </row>
    <row r="486" ht="15.75" customHeight="1" s="198">
      <c r="I486" s="83" t="n"/>
      <c r="L486" s="21" t="n"/>
      <c r="M486" s="85" t="n"/>
      <c r="T486" s="84" t="n"/>
    </row>
    <row r="487" ht="15.75" customHeight="1" s="198">
      <c r="I487" s="83" t="n"/>
      <c r="L487" s="21" t="n"/>
      <c r="M487" s="85" t="n"/>
      <c r="T487" s="84" t="n"/>
    </row>
    <row r="488" ht="15.75" customHeight="1" s="198">
      <c r="I488" s="83" t="n"/>
      <c r="L488" s="21" t="n"/>
      <c r="M488" s="85" t="n"/>
      <c r="T488" s="84" t="n"/>
    </row>
    <row r="489" ht="15.75" customHeight="1" s="198">
      <c r="I489" s="83" t="n"/>
      <c r="L489" s="21" t="n"/>
      <c r="M489" s="85" t="n"/>
      <c r="T489" s="84" t="n"/>
    </row>
    <row r="490" ht="15.75" customHeight="1" s="198">
      <c r="I490" s="83" t="n"/>
      <c r="L490" s="21" t="n"/>
      <c r="M490" s="85" t="n"/>
      <c r="T490" s="84" t="n"/>
    </row>
    <row r="491" ht="15.75" customHeight="1" s="198">
      <c r="I491" s="83" t="n"/>
      <c r="L491" s="21" t="n"/>
      <c r="M491" s="85" t="n"/>
      <c r="T491" s="84" t="n"/>
    </row>
    <row r="492" ht="15.75" customHeight="1" s="198">
      <c r="I492" s="83" t="n"/>
      <c r="L492" s="21" t="n"/>
      <c r="M492" s="85" t="n"/>
      <c r="T492" s="84" t="n"/>
    </row>
    <row r="493" ht="15.75" customHeight="1" s="198">
      <c r="I493" s="83" t="n"/>
      <c r="L493" s="21" t="n"/>
      <c r="M493" s="85" t="n"/>
      <c r="T493" s="84" t="n"/>
    </row>
    <row r="494" ht="15.75" customHeight="1" s="198">
      <c r="I494" s="83" t="n"/>
      <c r="L494" s="21" t="n"/>
      <c r="M494" s="85" t="n"/>
      <c r="T494" s="84" t="n"/>
    </row>
    <row r="495" ht="15.75" customHeight="1" s="198">
      <c r="I495" s="83" t="n"/>
      <c r="L495" s="21" t="n"/>
      <c r="M495" s="85" t="n"/>
      <c r="T495" s="84" t="n"/>
    </row>
    <row r="496" ht="15.75" customHeight="1" s="198">
      <c r="I496" s="83" t="n"/>
      <c r="L496" s="21" t="n"/>
      <c r="M496" s="85" t="n"/>
      <c r="T496" s="84" t="n"/>
    </row>
    <row r="497" ht="15.75" customHeight="1" s="198">
      <c r="I497" s="83" t="n"/>
      <c r="L497" s="21" t="n"/>
      <c r="M497" s="85" t="n"/>
      <c r="T497" s="84" t="n"/>
    </row>
    <row r="498" ht="15.75" customHeight="1" s="198">
      <c r="I498" s="83" t="n"/>
      <c r="L498" s="21" t="n"/>
      <c r="M498" s="85" t="n"/>
      <c r="T498" s="84" t="n"/>
    </row>
    <row r="499" ht="15.75" customHeight="1" s="198">
      <c r="I499" s="83" t="n"/>
      <c r="L499" s="21" t="n"/>
      <c r="M499" s="85" t="n"/>
      <c r="T499" s="84" t="n"/>
    </row>
    <row r="500" ht="15.75" customHeight="1" s="198">
      <c r="I500" s="83" t="n"/>
      <c r="L500" s="21" t="n"/>
      <c r="M500" s="85" t="n"/>
      <c r="T500" s="84" t="n"/>
    </row>
    <row r="501" ht="15.75" customHeight="1" s="198">
      <c r="I501" s="83" t="n"/>
      <c r="L501" s="21" t="n"/>
      <c r="M501" s="85" t="n"/>
      <c r="T501" s="84" t="n"/>
    </row>
    <row r="502" ht="15.75" customHeight="1" s="198">
      <c r="I502" s="83" t="n"/>
      <c r="L502" s="21" t="n"/>
      <c r="M502" s="85" t="n"/>
      <c r="T502" s="84" t="n"/>
    </row>
    <row r="503" ht="15.75" customHeight="1" s="198">
      <c r="I503" s="83" t="n"/>
      <c r="L503" s="21" t="n"/>
      <c r="M503" s="85" t="n"/>
      <c r="T503" s="84" t="n"/>
    </row>
    <row r="504" ht="15.75" customHeight="1" s="198">
      <c r="I504" s="83" t="n"/>
      <c r="L504" s="21" t="n"/>
      <c r="M504" s="85" t="n"/>
      <c r="T504" s="84" t="n"/>
    </row>
    <row r="505" ht="15.75" customHeight="1" s="198">
      <c r="I505" s="83" t="n"/>
      <c r="L505" s="21" t="n"/>
      <c r="M505" s="85" t="n"/>
      <c r="T505" s="84" t="n"/>
    </row>
    <row r="506" ht="15.75" customHeight="1" s="198">
      <c r="I506" s="83" t="n"/>
      <c r="L506" s="21" t="n"/>
      <c r="M506" s="85" t="n"/>
      <c r="T506" s="84" t="n"/>
    </row>
    <row r="507" ht="15.75" customHeight="1" s="198">
      <c r="I507" s="83" t="n"/>
      <c r="L507" s="21" t="n"/>
      <c r="M507" s="85" t="n"/>
      <c r="T507" s="84" t="n"/>
    </row>
    <row r="508" ht="15.75" customHeight="1" s="198">
      <c r="I508" s="83" t="n"/>
      <c r="L508" s="21" t="n"/>
      <c r="M508" s="85" t="n"/>
      <c r="T508" s="84" t="n"/>
    </row>
    <row r="509" ht="15.75" customHeight="1" s="198">
      <c r="I509" s="83" t="n"/>
      <c r="L509" s="21" t="n"/>
      <c r="M509" s="85" t="n"/>
      <c r="T509" s="84" t="n"/>
    </row>
    <row r="510" ht="15.75" customHeight="1" s="198">
      <c r="I510" s="83" t="n"/>
      <c r="L510" s="21" t="n"/>
      <c r="M510" s="85" t="n"/>
      <c r="T510" s="84" t="n"/>
    </row>
    <row r="511" ht="15.75" customHeight="1" s="198">
      <c r="I511" s="83" t="n"/>
      <c r="L511" s="21" t="n"/>
      <c r="M511" s="85" t="n"/>
      <c r="T511" s="84" t="n"/>
    </row>
    <row r="512" ht="15.75" customHeight="1" s="198">
      <c r="I512" s="83" t="n"/>
      <c r="L512" s="21" t="n"/>
      <c r="M512" s="85" t="n"/>
      <c r="T512" s="84" t="n"/>
    </row>
    <row r="513" ht="15.75" customHeight="1" s="198">
      <c r="I513" s="83" t="n"/>
      <c r="L513" s="21" t="n"/>
      <c r="M513" s="85" t="n"/>
      <c r="T513" s="84" t="n"/>
    </row>
    <row r="514" ht="15.75" customHeight="1" s="198">
      <c r="I514" s="83" t="n"/>
      <c r="L514" s="21" t="n"/>
      <c r="M514" s="85" t="n"/>
      <c r="T514" s="84" t="n"/>
    </row>
    <row r="515" ht="15.75" customHeight="1" s="198">
      <c r="I515" s="83" t="n"/>
      <c r="L515" s="21" t="n"/>
      <c r="M515" s="85" t="n"/>
      <c r="T515" s="84" t="n"/>
    </row>
    <row r="516" ht="15.75" customHeight="1" s="198">
      <c r="I516" s="83" t="n"/>
      <c r="L516" s="21" t="n"/>
      <c r="M516" s="85" t="n"/>
      <c r="T516" s="84" t="n"/>
    </row>
    <row r="517" ht="15.75" customHeight="1" s="198">
      <c r="I517" s="83" t="n"/>
      <c r="L517" s="21" t="n"/>
      <c r="M517" s="85" t="n"/>
      <c r="T517" s="84" t="n"/>
    </row>
    <row r="518" ht="15.75" customHeight="1" s="198">
      <c r="I518" s="83" t="n"/>
      <c r="L518" s="21" t="n"/>
      <c r="M518" s="85" t="n"/>
      <c r="T518" s="84" t="n"/>
    </row>
    <row r="519" ht="15.75" customHeight="1" s="198">
      <c r="I519" s="83" t="n"/>
      <c r="L519" s="21" t="n"/>
      <c r="M519" s="85" t="n"/>
      <c r="T519" s="84" t="n"/>
    </row>
    <row r="520" ht="15.75" customHeight="1" s="198">
      <c r="I520" s="83" t="n"/>
      <c r="L520" s="21" t="n"/>
      <c r="M520" s="85" t="n"/>
      <c r="T520" s="84" t="n"/>
    </row>
    <row r="521" ht="15.75" customHeight="1" s="198">
      <c r="I521" s="83" t="n"/>
      <c r="L521" s="21" t="n"/>
      <c r="M521" s="85" t="n"/>
      <c r="T521" s="84" t="n"/>
    </row>
    <row r="522" ht="15.75" customHeight="1" s="198">
      <c r="I522" s="83" t="n"/>
      <c r="L522" s="21" t="n"/>
      <c r="M522" s="85" t="n"/>
      <c r="T522" s="84" t="n"/>
    </row>
    <row r="523" ht="15.75" customHeight="1" s="198">
      <c r="I523" s="83" t="n"/>
      <c r="L523" s="21" t="n"/>
      <c r="M523" s="85" t="n"/>
      <c r="T523" s="84" t="n"/>
    </row>
    <row r="524" ht="15.75" customHeight="1" s="198">
      <c r="I524" s="83" t="n"/>
      <c r="L524" s="21" t="n"/>
      <c r="M524" s="85" t="n"/>
      <c r="T524" s="84" t="n"/>
    </row>
    <row r="525" ht="15.75" customHeight="1" s="198">
      <c r="I525" s="83" t="n"/>
      <c r="L525" s="21" t="n"/>
      <c r="M525" s="85" t="n"/>
      <c r="T525" s="84" t="n"/>
    </row>
    <row r="526" ht="15.75" customHeight="1" s="198">
      <c r="I526" s="83" t="n"/>
      <c r="L526" s="21" t="n"/>
      <c r="M526" s="85" t="n"/>
      <c r="T526" s="84" t="n"/>
    </row>
    <row r="527" ht="15.75" customHeight="1" s="198">
      <c r="I527" s="83" t="n"/>
      <c r="L527" s="21" t="n"/>
      <c r="M527" s="85" t="n"/>
      <c r="T527" s="84" t="n"/>
    </row>
    <row r="528" ht="15.75" customHeight="1" s="198">
      <c r="I528" s="83" t="n"/>
      <c r="L528" s="21" t="n"/>
      <c r="M528" s="85" t="n"/>
      <c r="T528" s="84" t="n"/>
    </row>
    <row r="529" ht="15.75" customHeight="1" s="198">
      <c r="I529" s="83" t="n"/>
      <c r="L529" s="21" t="n"/>
      <c r="M529" s="85" t="n"/>
      <c r="T529" s="84" t="n"/>
    </row>
    <row r="530" ht="15.75" customHeight="1" s="198">
      <c r="I530" s="83" t="n"/>
      <c r="L530" s="21" t="n"/>
      <c r="M530" s="85" t="n"/>
      <c r="T530" s="84" t="n"/>
    </row>
    <row r="531" ht="15.75" customHeight="1" s="198">
      <c r="I531" s="83" t="n"/>
      <c r="L531" s="21" t="n"/>
      <c r="M531" s="85" t="n"/>
      <c r="T531" s="84" t="n"/>
    </row>
    <row r="532" ht="15.75" customHeight="1" s="198">
      <c r="I532" s="83" t="n"/>
      <c r="L532" s="21" t="n"/>
      <c r="M532" s="85" t="n"/>
      <c r="T532" s="84" t="n"/>
    </row>
    <row r="533" ht="15.75" customHeight="1" s="198">
      <c r="I533" s="83" t="n"/>
      <c r="L533" s="21" t="n"/>
      <c r="M533" s="85" t="n"/>
      <c r="T533" s="84" t="n"/>
    </row>
    <row r="534" ht="15.75" customHeight="1" s="198">
      <c r="I534" s="83" t="n"/>
      <c r="L534" s="21" t="n"/>
      <c r="M534" s="85" t="n"/>
      <c r="T534" s="84" t="n"/>
    </row>
    <row r="535" ht="15.75" customHeight="1" s="198">
      <c r="I535" s="83" t="n"/>
      <c r="L535" s="21" t="n"/>
      <c r="M535" s="85" t="n"/>
      <c r="T535" s="84" t="n"/>
    </row>
    <row r="536" ht="15.75" customHeight="1" s="198">
      <c r="I536" s="83" t="n"/>
      <c r="L536" s="21" t="n"/>
      <c r="M536" s="85" t="n"/>
      <c r="T536" s="84" t="n"/>
    </row>
    <row r="537" ht="15.75" customHeight="1" s="198">
      <c r="I537" s="83" t="n"/>
      <c r="L537" s="21" t="n"/>
      <c r="M537" s="85" t="n"/>
      <c r="T537" s="84" t="n"/>
    </row>
    <row r="538" ht="15.75" customHeight="1" s="198">
      <c r="I538" s="83" t="n"/>
      <c r="L538" s="21" t="n"/>
      <c r="M538" s="85" t="n"/>
      <c r="T538" s="84" t="n"/>
    </row>
    <row r="539" ht="15.75" customHeight="1" s="198">
      <c r="I539" s="83" t="n"/>
      <c r="L539" s="21" t="n"/>
      <c r="M539" s="85" t="n"/>
      <c r="T539" s="84" t="n"/>
    </row>
    <row r="540" ht="15.75" customHeight="1" s="198">
      <c r="I540" s="83" t="n"/>
      <c r="L540" s="21" t="n"/>
      <c r="M540" s="85" t="n"/>
      <c r="T540" s="84" t="n"/>
    </row>
    <row r="541" ht="15.75" customHeight="1" s="198">
      <c r="I541" s="83" t="n"/>
      <c r="L541" s="21" t="n"/>
      <c r="M541" s="85" t="n"/>
      <c r="T541" s="84" t="n"/>
    </row>
    <row r="542" ht="15.75" customHeight="1" s="198">
      <c r="I542" s="83" t="n"/>
      <c r="L542" s="21" t="n"/>
      <c r="M542" s="85" t="n"/>
      <c r="T542" s="84" t="n"/>
    </row>
    <row r="543" ht="15.75" customHeight="1" s="198">
      <c r="I543" s="83" t="n"/>
      <c r="L543" s="21" t="n"/>
      <c r="M543" s="85" t="n"/>
      <c r="T543" s="84" t="n"/>
    </row>
    <row r="544" ht="15.75" customHeight="1" s="198">
      <c r="I544" s="83" t="n"/>
      <c r="L544" s="21" t="n"/>
      <c r="M544" s="85" t="n"/>
      <c r="T544" s="84" t="n"/>
    </row>
    <row r="545" ht="15.75" customHeight="1" s="198">
      <c r="I545" s="83" t="n"/>
      <c r="L545" s="21" t="n"/>
      <c r="M545" s="85" t="n"/>
      <c r="T545" s="84" t="n"/>
    </row>
    <row r="546" ht="15.75" customHeight="1" s="198">
      <c r="I546" s="83" t="n"/>
      <c r="L546" s="21" t="n"/>
      <c r="M546" s="85" t="n"/>
      <c r="T546" s="84" t="n"/>
    </row>
    <row r="547" ht="15.75" customHeight="1" s="198">
      <c r="I547" s="83" t="n"/>
      <c r="L547" s="21" t="n"/>
      <c r="M547" s="85" t="n"/>
      <c r="T547" s="84" t="n"/>
    </row>
    <row r="548" ht="15.75" customHeight="1" s="198">
      <c r="I548" s="83" t="n"/>
      <c r="L548" s="21" t="n"/>
      <c r="M548" s="85" t="n"/>
      <c r="T548" s="84" t="n"/>
    </row>
    <row r="549" ht="15.75" customHeight="1" s="198">
      <c r="I549" s="83" t="n"/>
      <c r="L549" s="21" t="n"/>
      <c r="M549" s="85" t="n"/>
      <c r="T549" s="84" t="n"/>
    </row>
    <row r="550" ht="15.75" customHeight="1" s="198">
      <c r="I550" s="83" t="n"/>
      <c r="L550" s="21" t="n"/>
      <c r="M550" s="85" t="n"/>
      <c r="T550" s="84" t="n"/>
    </row>
    <row r="551" ht="15.75" customHeight="1" s="198">
      <c r="I551" s="83" t="n"/>
      <c r="L551" s="21" t="n"/>
      <c r="M551" s="85" t="n"/>
      <c r="T551" s="84" t="n"/>
    </row>
    <row r="552" ht="15.75" customHeight="1" s="198">
      <c r="I552" s="83" t="n"/>
      <c r="L552" s="21" t="n"/>
      <c r="M552" s="85" t="n"/>
      <c r="T552" s="84" t="n"/>
    </row>
    <row r="553" ht="15.75" customHeight="1" s="198">
      <c r="I553" s="83" t="n"/>
      <c r="L553" s="21" t="n"/>
      <c r="M553" s="85" t="n"/>
      <c r="T553" s="84" t="n"/>
    </row>
    <row r="554" ht="15.75" customHeight="1" s="198">
      <c r="I554" s="83" t="n"/>
      <c r="L554" s="21" t="n"/>
      <c r="M554" s="85" t="n"/>
      <c r="T554" s="84" t="n"/>
    </row>
    <row r="555" ht="15.75" customHeight="1" s="198">
      <c r="I555" s="83" t="n"/>
      <c r="L555" s="21" t="n"/>
      <c r="M555" s="85" t="n"/>
      <c r="T555" s="84" t="n"/>
    </row>
    <row r="556" ht="15.75" customHeight="1" s="198">
      <c r="I556" s="83" t="n"/>
      <c r="L556" s="21" t="n"/>
      <c r="M556" s="85" t="n"/>
      <c r="T556" s="84" t="n"/>
    </row>
    <row r="557" ht="15.75" customHeight="1" s="198">
      <c r="I557" s="83" t="n"/>
      <c r="L557" s="21" t="n"/>
      <c r="M557" s="85" t="n"/>
      <c r="T557" s="84" t="n"/>
    </row>
    <row r="558" ht="15.75" customHeight="1" s="198">
      <c r="I558" s="83" t="n"/>
      <c r="L558" s="21" t="n"/>
      <c r="M558" s="85" t="n"/>
      <c r="T558" s="84" t="n"/>
    </row>
    <row r="559" ht="15.75" customHeight="1" s="198">
      <c r="I559" s="83" t="n"/>
      <c r="L559" s="21" t="n"/>
      <c r="M559" s="85" t="n"/>
      <c r="T559" s="84" t="n"/>
    </row>
    <row r="560" ht="15.75" customHeight="1" s="198">
      <c r="I560" s="83" t="n"/>
      <c r="L560" s="21" t="n"/>
      <c r="M560" s="85" t="n"/>
      <c r="T560" s="84" t="n"/>
    </row>
    <row r="561" ht="15.75" customHeight="1" s="198">
      <c r="I561" s="83" t="n"/>
      <c r="L561" s="21" t="n"/>
      <c r="M561" s="85" t="n"/>
      <c r="T561" s="84" t="n"/>
    </row>
    <row r="562" ht="15.75" customHeight="1" s="198">
      <c r="I562" s="83" t="n"/>
      <c r="L562" s="21" t="n"/>
      <c r="M562" s="85" t="n"/>
      <c r="T562" s="84" t="n"/>
    </row>
    <row r="563" ht="15.75" customHeight="1" s="198">
      <c r="I563" s="83" t="n"/>
      <c r="L563" s="21" t="n"/>
      <c r="M563" s="85" t="n"/>
      <c r="T563" s="84" t="n"/>
    </row>
    <row r="564" ht="15.75" customHeight="1" s="198">
      <c r="I564" s="83" t="n"/>
      <c r="L564" s="21" t="n"/>
      <c r="M564" s="85" t="n"/>
      <c r="T564" s="84" t="n"/>
    </row>
    <row r="565" ht="15.75" customHeight="1" s="198">
      <c r="I565" s="83" t="n"/>
      <c r="L565" s="21" t="n"/>
      <c r="M565" s="85" t="n"/>
      <c r="T565" s="84" t="n"/>
    </row>
    <row r="566" ht="15.75" customHeight="1" s="198">
      <c r="I566" s="83" t="n"/>
      <c r="L566" s="21" t="n"/>
      <c r="M566" s="85" t="n"/>
      <c r="T566" s="84" t="n"/>
    </row>
    <row r="567" ht="15.75" customHeight="1" s="198">
      <c r="I567" s="83" t="n"/>
      <c r="L567" s="21" t="n"/>
      <c r="M567" s="85" t="n"/>
      <c r="T567" s="84" t="n"/>
    </row>
    <row r="568" ht="15.75" customHeight="1" s="198">
      <c r="I568" s="83" t="n"/>
      <c r="L568" s="21" t="n"/>
      <c r="M568" s="85" t="n"/>
      <c r="T568" s="84" t="n"/>
    </row>
    <row r="569" ht="15.75" customHeight="1" s="198">
      <c r="I569" s="83" t="n"/>
      <c r="L569" s="21" t="n"/>
      <c r="M569" s="85" t="n"/>
      <c r="T569" s="84" t="n"/>
    </row>
    <row r="570" ht="15.75" customHeight="1" s="198">
      <c r="I570" s="83" t="n"/>
      <c r="L570" s="21" t="n"/>
      <c r="M570" s="85" t="n"/>
      <c r="T570" s="84" t="n"/>
    </row>
    <row r="571" ht="15.75" customHeight="1" s="198">
      <c r="I571" s="83" t="n"/>
      <c r="L571" s="21" t="n"/>
      <c r="M571" s="85" t="n"/>
      <c r="T571" s="84" t="n"/>
    </row>
    <row r="572" ht="15.75" customHeight="1" s="198">
      <c r="I572" s="83" t="n"/>
      <c r="L572" s="21" t="n"/>
      <c r="M572" s="85" t="n"/>
      <c r="T572" s="84" t="n"/>
    </row>
    <row r="573" ht="15.75" customHeight="1" s="198">
      <c r="I573" s="83" t="n"/>
      <c r="L573" s="21" t="n"/>
      <c r="M573" s="85" t="n"/>
      <c r="T573" s="84" t="n"/>
    </row>
    <row r="574" ht="15.75" customHeight="1" s="198">
      <c r="I574" s="83" t="n"/>
      <c r="L574" s="21" t="n"/>
      <c r="M574" s="85" t="n"/>
      <c r="T574" s="84" t="n"/>
    </row>
    <row r="575" ht="15.75" customHeight="1" s="198">
      <c r="I575" s="83" t="n"/>
      <c r="L575" s="21" t="n"/>
      <c r="M575" s="85" t="n"/>
      <c r="T575" s="84" t="n"/>
    </row>
    <row r="576" ht="15.75" customHeight="1" s="198">
      <c r="I576" s="83" t="n"/>
      <c r="L576" s="21" t="n"/>
      <c r="M576" s="85" t="n"/>
      <c r="T576" s="84" t="n"/>
    </row>
    <row r="577" ht="15.75" customHeight="1" s="198">
      <c r="I577" s="83" t="n"/>
      <c r="L577" s="21" t="n"/>
      <c r="M577" s="85" t="n"/>
      <c r="T577" s="84" t="n"/>
    </row>
    <row r="578" ht="15.75" customHeight="1" s="198">
      <c r="I578" s="83" t="n"/>
      <c r="L578" s="21" t="n"/>
      <c r="M578" s="85" t="n"/>
      <c r="T578" s="84" t="n"/>
    </row>
    <row r="579" ht="15.75" customHeight="1" s="198">
      <c r="I579" s="83" t="n"/>
      <c r="L579" s="21" t="n"/>
      <c r="M579" s="85" t="n"/>
      <c r="T579" s="84" t="n"/>
    </row>
    <row r="580" ht="15.75" customHeight="1" s="198">
      <c r="I580" s="83" t="n"/>
      <c r="L580" s="21" t="n"/>
      <c r="M580" s="85" t="n"/>
      <c r="T580" s="84" t="n"/>
    </row>
    <row r="581" ht="15.75" customHeight="1" s="198">
      <c r="I581" s="83" t="n"/>
      <c r="L581" s="21" t="n"/>
      <c r="M581" s="85" t="n"/>
      <c r="T581" s="84" t="n"/>
    </row>
    <row r="582" ht="15.75" customHeight="1" s="198">
      <c r="I582" s="83" t="n"/>
      <c r="L582" s="21" t="n"/>
      <c r="M582" s="85" t="n"/>
      <c r="T582" s="84" t="n"/>
    </row>
    <row r="583" ht="15.75" customHeight="1" s="198">
      <c r="I583" s="83" t="n"/>
      <c r="L583" s="21" t="n"/>
      <c r="M583" s="85" t="n"/>
      <c r="T583" s="84" t="n"/>
    </row>
    <row r="584" ht="15.75" customHeight="1" s="198">
      <c r="I584" s="83" t="n"/>
      <c r="L584" s="21" t="n"/>
      <c r="M584" s="85" t="n"/>
      <c r="T584" s="84" t="n"/>
    </row>
    <row r="585" ht="15.75" customHeight="1" s="198">
      <c r="I585" s="83" t="n"/>
      <c r="L585" s="21" t="n"/>
      <c r="M585" s="85" t="n"/>
      <c r="T585" s="84" t="n"/>
    </row>
    <row r="586" ht="15.75" customHeight="1" s="198">
      <c r="I586" s="83" t="n"/>
      <c r="L586" s="21" t="n"/>
      <c r="M586" s="85" t="n"/>
      <c r="T586" s="84" t="n"/>
    </row>
    <row r="587" ht="15.75" customHeight="1" s="198">
      <c r="I587" s="83" t="n"/>
      <c r="L587" s="21" t="n"/>
      <c r="M587" s="85" t="n"/>
      <c r="T587" s="84" t="n"/>
    </row>
    <row r="588" ht="15.75" customHeight="1" s="198">
      <c r="I588" s="83" t="n"/>
      <c r="L588" s="21" t="n"/>
      <c r="M588" s="85" t="n"/>
      <c r="T588" s="84" t="n"/>
    </row>
    <row r="589" ht="15.75" customHeight="1" s="198">
      <c r="I589" s="83" t="n"/>
      <c r="L589" s="21" t="n"/>
      <c r="M589" s="85" t="n"/>
      <c r="T589" s="84" t="n"/>
    </row>
    <row r="590" ht="15.75" customHeight="1" s="198">
      <c r="I590" s="83" t="n"/>
      <c r="L590" s="21" t="n"/>
      <c r="M590" s="85" t="n"/>
      <c r="T590" s="84" t="n"/>
    </row>
    <row r="591" ht="15.75" customHeight="1" s="198">
      <c r="I591" s="83" t="n"/>
      <c r="L591" s="21" t="n"/>
      <c r="M591" s="85" t="n"/>
      <c r="T591" s="84" t="n"/>
    </row>
    <row r="592" ht="15.75" customHeight="1" s="198">
      <c r="I592" s="83" t="n"/>
      <c r="L592" s="21" t="n"/>
      <c r="M592" s="85" t="n"/>
      <c r="T592" s="84" t="n"/>
    </row>
    <row r="593" ht="15.75" customHeight="1" s="198">
      <c r="I593" s="83" t="n"/>
      <c r="L593" s="21" t="n"/>
      <c r="M593" s="85" t="n"/>
      <c r="T593" s="84" t="n"/>
    </row>
    <row r="594" ht="15.75" customHeight="1" s="198">
      <c r="I594" s="83" t="n"/>
      <c r="L594" s="21" t="n"/>
      <c r="M594" s="85" t="n"/>
      <c r="T594" s="84" t="n"/>
    </row>
    <row r="595" ht="15.75" customHeight="1" s="198">
      <c r="I595" s="83" t="n"/>
      <c r="L595" s="21" t="n"/>
      <c r="M595" s="85" t="n"/>
      <c r="T595" s="84" t="n"/>
    </row>
    <row r="596" ht="15.75" customHeight="1" s="198">
      <c r="I596" s="83" t="n"/>
      <c r="L596" s="21" t="n"/>
      <c r="M596" s="85" t="n"/>
      <c r="T596" s="84" t="n"/>
    </row>
    <row r="597" ht="15.75" customHeight="1" s="198">
      <c r="I597" s="83" t="n"/>
      <c r="L597" s="21" t="n"/>
      <c r="M597" s="85" t="n"/>
      <c r="T597" s="84" t="n"/>
    </row>
    <row r="598" ht="15.75" customHeight="1" s="198">
      <c r="I598" s="83" t="n"/>
      <c r="L598" s="21" t="n"/>
      <c r="M598" s="85" t="n"/>
      <c r="T598" s="84" t="n"/>
    </row>
    <row r="599" ht="15.75" customHeight="1" s="198">
      <c r="I599" s="83" t="n"/>
      <c r="L599" s="21" t="n"/>
      <c r="M599" s="85" t="n"/>
      <c r="T599" s="84" t="n"/>
    </row>
    <row r="600" ht="15.75" customHeight="1" s="198">
      <c r="I600" s="83" t="n"/>
      <c r="L600" s="21" t="n"/>
      <c r="M600" s="85" t="n"/>
      <c r="T600" s="84" t="n"/>
    </row>
    <row r="601" ht="15.75" customHeight="1" s="198">
      <c r="I601" s="83" t="n"/>
      <c r="L601" s="21" t="n"/>
      <c r="M601" s="85" t="n"/>
      <c r="T601" s="84" t="n"/>
    </row>
    <row r="602" ht="15.75" customHeight="1" s="198">
      <c r="I602" s="83" t="n"/>
      <c r="L602" s="21" t="n"/>
      <c r="M602" s="85" t="n"/>
      <c r="T602" s="84" t="n"/>
    </row>
    <row r="603" ht="15.75" customHeight="1" s="198">
      <c r="I603" s="83" t="n"/>
      <c r="L603" s="21" t="n"/>
      <c r="M603" s="85" t="n"/>
      <c r="T603" s="84" t="n"/>
    </row>
    <row r="604" ht="15.75" customHeight="1" s="198">
      <c r="I604" s="83" t="n"/>
      <c r="L604" s="21" t="n"/>
      <c r="M604" s="85" t="n"/>
      <c r="T604" s="84" t="n"/>
    </row>
    <row r="605" ht="15.75" customHeight="1" s="198">
      <c r="I605" s="83" t="n"/>
      <c r="L605" s="21" t="n"/>
      <c r="M605" s="85" t="n"/>
      <c r="T605" s="84" t="n"/>
    </row>
    <row r="606" ht="15.75" customHeight="1" s="198">
      <c r="I606" s="83" t="n"/>
      <c r="L606" s="21" t="n"/>
      <c r="M606" s="85" t="n"/>
      <c r="T606" s="84" t="n"/>
    </row>
    <row r="607" ht="15.75" customHeight="1" s="198">
      <c r="I607" s="83" t="n"/>
      <c r="L607" s="21" t="n"/>
      <c r="M607" s="85" t="n"/>
      <c r="T607" s="84" t="n"/>
    </row>
    <row r="608" ht="15.75" customHeight="1" s="198">
      <c r="I608" s="83" t="n"/>
      <c r="L608" s="21" t="n"/>
      <c r="M608" s="85" t="n"/>
      <c r="T608" s="84" t="n"/>
    </row>
    <row r="609" ht="15.75" customHeight="1" s="198">
      <c r="I609" s="83" t="n"/>
      <c r="L609" s="21" t="n"/>
      <c r="M609" s="85" t="n"/>
      <c r="T609" s="84" t="n"/>
    </row>
    <row r="610" ht="15.75" customHeight="1" s="198">
      <c r="I610" s="83" t="n"/>
      <c r="L610" s="21" t="n"/>
      <c r="M610" s="85" t="n"/>
      <c r="T610" s="84" t="n"/>
    </row>
    <row r="611" ht="15.75" customHeight="1" s="198">
      <c r="I611" s="83" t="n"/>
      <c r="L611" s="21" t="n"/>
      <c r="M611" s="85" t="n"/>
      <c r="T611" s="84" t="n"/>
    </row>
    <row r="612" ht="15.75" customHeight="1" s="198">
      <c r="I612" s="83" t="n"/>
      <c r="L612" s="21" t="n"/>
      <c r="M612" s="85" t="n"/>
      <c r="T612" s="84" t="n"/>
    </row>
    <row r="613" ht="15.75" customHeight="1" s="198">
      <c r="I613" s="83" t="n"/>
      <c r="L613" s="21" t="n"/>
      <c r="M613" s="85" t="n"/>
      <c r="T613" s="84" t="n"/>
    </row>
    <row r="614" ht="15.75" customHeight="1" s="198">
      <c r="I614" s="83" t="n"/>
      <c r="L614" s="21" t="n"/>
      <c r="M614" s="85" t="n"/>
      <c r="T614" s="84" t="n"/>
    </row>
    <row r="615" ht="15.75" customHeight="1" s="198">
      <c r="I615" s="83" t="n"/>
      <c r="L615" s="21" t="n"/>
      <c r="M615" s="85" t="n"/>
      <c r="T615" s="84" t="n"/>
    </row>
    <row r="616" ht="15.75" customHeight="1" s="198">
      <c r="I616" s="83" t="n"/>
      <c r="L616" s="21" t="n"/>
      <c r="M616" s="85" t="n"/>
      <c r="T616" s="84" t="n"/>
    </row>
    <row r="617" ht="15.75" customHeight="1" s="198">
      <c r="I617" s="83" t="n"/>
      <c r="L617" s="21" t="n"/>
      <c r="M617" s="85" t="n"/>
      <c r="T617" s="84" t="n"/>
    </row>
    <row r="618" ht="15.75" customHeight="1" s="198">
      <c r="I618" s="83" t="n"/>
      <c r="L618" s="21" t="n"/>
      <c r="M618" s="85" t="n"/>
      <c r="T618" s="84" t="n"/>
    </row>
    <row r="619" ht="15.75" customHeight="1" s="198">
      <c r="I619" s="83" t="n"/>
      <c r="L619" s="21" t="n"/>
      <c r="M619" s="85" t="n"/>
      <c r="T619" s="84" t="n"/>
    </row>
    <row r="620" ht="15.75" customHeight="1" s="198">
      <c r="I620" s="83" t="n"/>
      <c r="L620" s="21" t="n"/>
      <c r="M620" s="85" t="n"/>
      <c r="T620" s="84" t="n"/>
    </row>
    <row r="621" ht="15.75" customHeight="1" s="198">
      <c r="I621" s="83" t="n"/>
      <c r="L621" s="21" t="n"/>
      <c r="M621" s="85" t="n"/>
      <c r="T621" s="84" t="n"/>
    </row>
    <row r="622" ht="15.75" customHeight="1" s="198">
      <c r="I622" s="83" t="n"/>
      <c r="L622" s="21" t="n"/>
      <c r="M622" s="85" t="n"/>
      <c r="T622" s="84" t="n"/>
    </row>
    <row r="623" ht="15.75" customHeight="1" s="198">
      <c r="I623" s="83" t="n"/>
      <c r="L623" s="21" t="n"/>
      <c r="M623" s="85" t="n"/>
      <c r="T623" s="84" t="n"/>
    </row>
    <row r="624" ht="15.75" customHeight="1" s="198">
      <c r="I624" s="83" t="n"/>
      <c r="L624" s="21" t="n"/>
      <c r="M624" s="85" t="n"/>
      <c r="T624" s="84" t="n"/>
    </row>
    <row r="625" ht="15.75" customHeight="1" s="198">
      <c r="I625" s="83" t="n"/>
      <c r="L625" s="21" t="n"/>
      <c r="M625" s="85" t="n"/>
      <c r="T625" s="84" t="n"/>
    </row>
    <row r="626" ht="15.75" customHeight="1" s="198">
      <c r="I626" s="83" t="n"/>
      <c r="L626" s="21" t="n"/>
      <c r="M626" s="85" t="n"/>
      <c r="T626" s="84" t="n"/>
    </row>
    <row r="627" ht="15.75" customHeight="1" s="198">
      <c r="I627" s="83" t="n"/>
      <c r="L627" s="21" t="n"/>
      <c r="M627" s="85" t="n"/>
      <c r="T627" s="84" t="n"/>
    </row>
    <row r="628" ht="15.75" customHeight="1" s="198">
      <c r="I628" s="83" t="n"/>
      <c r="L628" s="21" t="n"/>
      <c r="M628" s="85" t="n"/>
      <c r="T628" s="84" t="n"/>
    </row>
    <row r="629" ht="15.75" customHeight="1" s="198">
      <c r="I629" s="83" t="n"/>
      <c r="L629" s="21" t="n"/>
      <c r="M629" s="85" t="n"/>
      <c r="T629" s="84" t="n"/>
    </row>
    <row r="630" ht="15.75" customHeight="1" s="198">
      <c r="I630" s="83" t="n"/>
      <c r="L630" s="21" t="n"/>
      <c r="M630" s="85" t="n"/>
      <c r="T630" s="84" t="n"/>
    </row>
    <row r="631" ht="15.75" customHeight="1" s="198">
      <c r="I631" s="83" t="n"/>
      <c r="L631" s="21" t="n"/>
      <c r="M631" s="85" t="n"/>
      <c r="T631" s="84" t="n"/>
    </row>
    <row r="632" ht="15.75" customHeight="1" s="198">
      <c r="I632" s="83" t="n"/>
      <c r="L632" s="21" t="n"/>
      <c r="M632" s="85" t="n"/>
      <c r="T632" s="84" t="n"/>
    </row>
    <row r="633" ht="15.75" customHeight="1" s="198">
      <c r="I633" s="83" t="n"/>
      <c r="L633" s="21" t="n"/>
      <c r="M633" s="85" t="n"/>
      <c r="T633" s="84" t="n"/>
    </row>
    <row r="634" ht="15.75" customHeight="1" s="198">
      <c r="I634" s="83" t="n"/>
      <c r="L634" s="21" t="n"/>
      <c r="M634" s="85" t="n"/>
      <c r="T634" s="84" t="n"/>
    </row>
    <row r="635" ht="15.75" customHeight="1" s="198">
      <c r="I635" s="83" t="n"/>
      <c r="L635" s="21" t="n"/>
      <c r="M635" s="85" t="n"/>
      <c r="T635" s="84" t="n"/>
    </row>
    <row r="636" ht="15.75" customHeight="1" s="198">
      <c r="I636" s="83" t="n"/>
      <c r="L636" s="21" t="n"/>
      <c r="M636" s="85" t="n"/>
      <c r="T636" s="84" t="n"/>
    </row>
    <row r="637" ht="15.75" customHeight="1" s="198">
      <c r="I637" s="83" t="n"/>
      <c r="L637" s="21" t="n"/>
      <c r="M637" s="85" t="n"/>
      <c r="T637" s="84" t="n"/>
    </row>
    <row r="638" ht="15.75" customHeight="1" s="198">
      <c r="I638" s="83" t="n"/>
      <c r="L638" s="21" t="n"/>
      <c r="M638" s="85" t="n"/>
      <c r="T638" s="84" t="n"/>
    </row>
    <row r="639" ht="15.75" customHeight="1" s="198">
      <c r="I639" s="83" t="n"/>
      <c r="L639" s="21" t="n"/>
      <c r="M639" s="85" t="n"/>
      <c r="T639" s="84" t="n"/>
    </row>
    <row r="640" ht="15.75" customHeight="1" s="198">
      <c r="I640" s="83" t="n"/>
      <c r="L640" s="21" t="n"/>
      <c r="M640" s="85" t="n"/>
      <c r="T640" s="84" t="n"/>
    </row>
    <row r="641" ht="15.75" customHeight="1" s="198">
      <c r="I641" s="83" t="n"/>
      <c r="L641" s="21" t="n"/>
      <c r="M641" s="85" t="n"/>
      <c r="T641" s="84" t="n"/>
    </row>
    <row r="642" ht="15.75" customHeight="1" s="198">
      <c r="I642" s="83" t="n"/>
      <c r="L642" s="21" t="n"/>
      <c r="M642" s="85" t="n"/>
      <c r="T642" s="84" t="n"/>
    </row>
    <row r="643" ht="15.75" customHeight="1" s="198">
      <c r="I643" s="83" t="n"/>
      <c r="L643" s="21" t="n"/>
      <c r="M643" s="85" t="n"/>
      <c r="T643" s="84" t="n"/>
    </row>
    <row r="644" ht="15.75" customHeight="1" s="198">
      <c r="I644" s="83" t="n"/>
      <c r="L644" s="21" t="n"/>
      <c r="M644" s="85" t="n"/>
      <c r="T644" s="84" t="n"/>
    </row>
    <row r="645" ht="15.75" customHeight="1" s="198">
      <c r="I645" s="83" t="n"/>
      <c r="L645" s="21" t="n"/>
      <c r="M645" s="85" t="n"/>
      <c r="T645" s="84" t="n"/>
    </row>
    <row r="646" ht="15.75" customHeight="1" s="198">
      <c r="I646" s="83" t="n"/>
      <c r="L646" s="21" t="n"/>
      <c r="M646" s="85" t="n"/>
      <c r="T646" s="84" t="n"/>
    </row>
    <row r="647" ht="15.75" customHeight="1" s="198">
      <c r="I647" s="83" t="n"/>
      <c r="L647" s="21" t="n"/>
      <c r="M647" s="85" t="n"/>
      <c r="T647" s="84" t="n"/>
    </row>
    <row r="648" ht="15.75" customHeight="1" s="198">
      <c r="I648" s="83" t="n"/>
      <c r="L648" s="21" t="n"/>
      <c r="M648" s="85" t="n"/>
      <c r="T648" s="84" t="n"/>
    </row>
    <row r="649" ht="15.75" customHeight="1" s="198">
      <c r="I649" s="83" t="n"/>
      <c r="L649" s="21" t="n"/>
      <c r="M649" s="85" t="n"/>
      <c r="T649" s="84" t="n"/>
    </row>
    <row r="650" ht="15.75" customHeight="1" s="198">
      <c r="I650" s="83" t="n"/>
      <c r="L650" s="21" t="n"/>
      <c r="M650" s="85" t="n"/>
      <c r="T650" s="84" t="n"/>
    </row>
    <row r="651" ht="15.75" customHeight="1" s="198">
      <c r="I651" s="83" t="n"/>
      <c r="L651" s="21" t="n"/>
      <c r="M651" s="85" t="n"/>
      <c r="T651" s="84" t="n"/>
    </row>
    <row r="652" ht="15.75" customHeight="1" s="198">
      <c r="I652" s="83" t="n"/>
      <c r="L652" s="21" t="n"/>
      <c r="M652" s="85" t="n"/>
      <c r="T652" s="84" t="n"/>
    </row>
    <row r="653" ht="15.75" customHeight="1" s="198">
      <c r="I653" s="83" t="n"/>
      <c r="L653" s="21" t="n"/>
      <c r="M653" s="85" t="n"/>
      <c r="T653" s="84" t="n"/>
    </row>
    <row r="654" ht="15.75" customHeight="1" s="198">
      <c r="I654" s="83" t="n"/>
      <c r="L654" s="21" t="n"/>
      <c r="M654" s="85" t="n"/>
      <c r="T654" s="84" t="n"/>
    </row>
    <row r="655" ht="15.75" customHeight="1" s="198">
      <c r="I655" s="83" t="n"/>
      <c r="L655" s="21" t="n"/>
      <c r="M655" s="85" t="n"/>
      <c r="T655" s="84" t="n"/>
    </row>
    <row r="656" ht="15.75" customHeight="1" s="198">
      <c r="I656" s="83" t="n"/>
      <c r="L656" s="21" t="n"/>
      <c r="M656" s="85" t="n"/>
      <c r="T656" s="84" t="n"/>
    </row>
    <row r="657" ht="15.75" customHeight="1" s="198">
      <c r="I657" s="83" t="n"/>
      <c r="L657" s="21" t="n"/>
      <c r="M657" s="85" t="n"/>
      <c r="T657" s="84" t="n"/>
    </row>
    <row r="658" ht="15.75" customHeight="1" s="198">
      <c r="I658" s="83" t="n"/>
      <c r="L658" s="21" t="n"/>
      <c r="M658" s="85" t="n"/>
      <c r="T658" s="84" t="n"/>
    </row>
    <row r="659" ht="15.75" customHeight="1" s="198">
      <c r="I659" s="83" t="n"/>
      <c r="L659" s="21" t="n"/>
      <c r="M659" s="85" t="n"/>
      <c r="T659" s="84" t="n"/>
    </row>
    <row r="660" ht="15.75" customHeight="1" s="198">
      <c r="I660" s="83" t="n"/>
      <c r="L660" s="21" t="n"/>
      <c r="M660" s="85" t="n"/>
      <c r="T660" s="84" t="n"/>
    </row>
    <row r="661" ht="15.75" customHeight="1" s="198">
      <c r="I661" s="83" t="n"/>
      <c r="L661" s="21" t="n"/>
      <c r="M661" s="85" t="n"/>
      <c r="T661" s="84" t="n"/>
    </row>
    <row r="662" ht="15.75" customHeight="1" s="198">
      <c r="I662" s="83" t="n"/>
      <c r="L662" s="21" t="n"/>
      <c r="M662" s="85" t="n"/>
      <c r="T662" s="84" t="n"/>
    </row>
    <row r="663" ht="15.75" customHeight="1" s="198">
      <c r="I663" s="83" t="n"/>
      <c r="L663" s="21" t="n"/>
      <c r="M663" s="85" t="n"/>
      <c r="T663" s="84" t="n"/>
    </row>
    <row r="664" ht="15.75" customHeight="1" s="198">
      <c r="I664" s="83" t="n"/>
      <c r="L664" s="21" t="n"/>
      <c r="M664" s="85" t="n"/>
      <c r="T664" s="84" t="n"/>
    </row>
    <row r="665" ht="15.75" customHeight="1" s="198">
      <c r="I665" s="83" t="n"/>
      <c r="L665" s="21" t="n"/>
      <c r="M665" s="85" t="n"/>
      <c r="T665" s="84" t="n"/>
    </row>
    <row r="666" ht="15.75" customHeight="1" s="198">
      <c r="I666" s="83" t="n"/>
      <c r="L666" s="21" t="n"/>
      <c r="M666" s="85" t="n"/>
      <c r="T666" s="84" t="n"/>
    </row>
    <row r="667" ht="15.75" customHeight="1" s="198">
      <c r="I667" s="83" t="n"/>
      <c r="L667" s="21" t="n"/>
      <c r="M667" s="85" t="n"/>
      <c r="T667" s="84" t="n"/>
    </row>
    <row r="668" ht="15.75" customHeight="1" s="198">
      <c r="I668" s="83" t="n"/>
      <c r="L668" s="21" t="n"/>
      <c r="M668" s="85" t="n"/>
      <c r="T668" s="84" t="n"/>
    </row>
    <row r="669" ht="15.75" customHeight="1" s="198">
      <c r="I669" s="83" t="n"/>
      <c r="L669" s="21" t="n"/>
      <c r="M669" s="85" t="n"/>
      <c r="T669" s="84" t="n"/>
    </row>
    <row r="670" ht="15.75" customHeight="1" s="198">
      <c r="I670" s="83" t="n"/>
      <c r="L670" s="21" t="n"/>
      <c r="M670" s="85" t="n"/>
      <c r="T670" s="84" t="n"/>
    </row>
    <row r="671" ht="15.75" customHeight="1" s="198">
      <c r="I671" s="83" t="n"/>
      <c r="L671" s="21" t="n"/>
      <c r="M671" s="85" t="n"/>
      <c r="T671" s="84" t="n"/>
    </row>
    <row r="672" ht="15.75" customHeight="1" s="198">
      <c r="I672" s="83" t="n"/>
      <c r="L672" s="21" t="n"/>
      <c r="M672" s="85" t="n"/>
      <c r="T672" s="84" t="n"/>
    </row>
    <row r="673" ht="15.75" customHeight="1" s="198">
      <c r="I673" s="83" t="n"/>
      <c r="L673" s="21" t="n"/>
      <c r="M673" s="85" t="n"/>
      <c r="T673" s="84" t="n"/>
    </row>
    <row r="674" ht="15.75" customHeight="1" s="198">
      <c r="I674" s="83" t="n"/>
      <c r="L674" s="21" t="n"/>
      <c r="M674" s="85" t="n"/>
      <c r="T674" s="84" t="n"/>
    </row>
    <row r="675" ht="15.75" customHeight="1" s="198">
      <c r="I675" s="83" t="n"/>
      <c r="L675" s="21" t="n"/>
      <c r="M675" s="85" t="n"/>
      <c r="T675" s="84" t="n"/>
    </row>
    <row r="676" ht="15.75" customHeight="1" s="198">
      <c r="I676" s="83" t="n"/>
      <c r="L676" s="21" t="n"/>
      <c r="M676" s="85" t="n"/>
      <c r="T676" s="84" t="n"/>
    </row>
    <row r="677" ht="15.75" customHeight="1" s="198">
      <c r="I677" s="83" t="n"/>
      <c r="L677" s="21" t="n"/>
      <c r="M677" s="85" t="n"/>
      <c r="T677" s="84" t="n"/>
    </row>
    <row r="678" ht="15.75" customHeight="1" s="198">
      <c r="I678" s="83" t="n"/>
      <c r="L678" s="21" t="n"/>
      <c r="M678" s="85" t="n"/>
      <c r="T678" s="84" t="n"/>
    </row>
    <row r="679" ht="15.75" customHeight="1" s="198">
      <c r="I679" s="83" t="n"/>
      <c r="L679" s="21" t="n"/>
      <c r="M679" s="85" t="n"/>
      <c r="T679" s="84" t="n"/>
    </row>
    <row r="680" ht="15.75" customHeight="1" s="198">
      <c r="I680" s="83" t="n"/>
      <c r="L680" s="21" t="n"/>
      <c r="M680" s="85" t="n"/>
      <c r="T680" s="84" t="n"/>
    </row>
    <row r="681" ht="15.75" customHeight="1" s="198">
      <c r="I681" s="83" t="n"/>
      <c r="L681" s="21" t="n"/>
      <c r="M681" s="85" t="n"/>
      <c r="T681" s="84" t="n"/>
    </row>
    <row r="682" ht="15.75" customHeight="1" s="198">
      <c r="I682" s="83" t="n"/>
      <c r="L682" s="21" t="n"/>
      <c r="M682" s="85" t="n"/>
      <c r="T682" s="84" t="n"/>
    </row>
    <row r="683" ht="15.75" customHeight="1" s="198">
      <c r="I683" s="83" t="n"/>
      <c r="L683" s="21" t="n"/>
      <c r="M683" s="85" t="n"/>
      <c r="T683" s="84" t="n"/>
    </row>
    <row r="684" ht="15.75" customHeight="1" s="198">
      <c r="I684" s="83" t="n"/>
      <c r="L684" s="21" t="n"/>
      <c r="M684" s="85" t="n"/>
      <c r="T684" s="84" t="n"/>
    </row>
    <row r="685" ht="15.75" customHeight="1" s="198">
      <c r="I685" s="83" t="n"/>
      <c r="L685" s="21" t="n"/>
      <c r="M685" s="85" t="n"/>
      <c r="T685" s="84" t="n"/>
    </row>
    <row r="686" ht="15.75" customHeight="1" s="198">
      <c r="I686" s="83" t="n"/>
      <c r="L686" s="21" t="n"/>
      <c r="M686" s="85" t="n"/>
      <c r="T686" s="84" t="n"/>
    </row>
    <row r="687" ht="15.75" customHeight="1" s="198">
      <c r="I687" s="83" t="n"/>
      <c r="L687" s="21" t="n"/>
      <c r="M687" s="85" t="n"/>
      <c r="T687" s="84" t="n"/>
    </row>
    <row r="688" ht="15.75" customHeight="1" s="198">
      <c r="I688" s="83" t="n"/>
      <c r="L688" s="21" t="n"/>
      <c r="M688" s="85" t="n"/>
      <c r="T688" s="84" t="n"/>
    </row>
    <row r="689" ht="15.75" customHeight="1" s="198">
      <c r="I689" s="83" t="n"/>
      <c r="L689" s="21" t="n"/>
      <c r="M689" s="85" t="n"/>
      <c r="T689" s="84" t="n"/>
    </row>
    <row r="690" ht="15.75" customHeight="1" s="198">
      <c r="I690" s="83" t="n"/>
      <c r="L690" s="21" t="n"/>
      <c r="M690" s="85" t="n"/>
      <c r="T690" s="84" t="n"/>
    </row>
    <row r="691" ht="15.75" customHeight="1" s="198">
      <c r="I691" s="83" t="n"/>
      <c r="L691" s="21" t="n"/>
      <c r="M691" s="85" t="n"/>
      <c r="T691" s="84" t="n"/>
    </row>
    <row r="692" ht="15.75" customHeight="1" s="198">
      <c r="I692" s="83" t="n"/>
      <c r="L692" s="21" t="n"/>
      <c r="M692" s="85" t="n"/>
      <c r="T692" s="84" t="n"/>
    </row>
    <row r="693" ht="15.75" customHeight="1" s="198">
      <c r="I693" s="83" t="n"/>
      <c r="L693" s="21" t="n"/>
      <c r="M693" s="85" t="n"/>
      <c r="T693" s="84" t="n"/>
    </row>
    <row r="694" ht="15.75" customHeight="1" s="198">
      <c r="I694" s="83" t="n"/>
      <c r="L694" s="21" t="n"/>
      <c r="M694" s="85" t="n"/>
      <c r="T694" s="84" t="n"/>
    </row>
    <row r="695" ht="15.75" customHeight="1" s="198">
      <c r="I695" s="83" t="n"/>
      <c r="L695" s="21" t="n"/>
      <c r="M695" s="85" t="n"/>
      <c r="T695" s="84" t="n"/>
    </row>
    <row r="696" ht="15.75" customHeight="1" s="198">
      <c r="I696" s="83" t="n"/>
      <c r="L696" s="21" t="n"/>
      <c r="M696" s="85" t="n"/>
      <c r="T696" s="84" t="n"/>
    </row>
    <row r="697" ht="15.75" customHeight="1" s="198">
      <c r="I697" s="83" t="n"/>
      <c r="L697" s="21" t="n"/>
      <c r="M697" s="85" t="n"/>
      <c r="T697" s="84" t="n"/>
    </row>
    <row r="698" ht="15.75" customHeight="1" s="198">
      <c r="I698" s="83" t="n"/>
      <c r="L698" s="21" t="n"/>
      <c r="M698" s="85" t="n"/>
      <c r="T698" s="84" t="n"/>
    </row>
    <row r="699" ht="15.75" customHeight="1" s="198">
      <c r="I699" s="83" t="n"/>
      <c r="L699" s="21" t="n"/>
      <c r="M699" s="85" t="n"/>
      <c r="T699" s="84" t="n"/>
    </row>
    <row r="700" ht="15.75" customHeight="1" s="198">
      <c r="I700" s="83" t="n"/>
      <c r="L700" s="21" t="n"/>
      <c r="M700" s="85" t="n"/>
      <c r="T700" s="84" t="n"/>
    </row>
    <row r="701" ht="15.75" customHeight="1" s="198">
      <c r="I701" s="83" t="n"/>
      <c r="L701" s="21" t="n"/>
      <c r="M701" s="85" t="n"/>
      <c r="T701" s="84" t="n"/>
    </row>
    <row r="702" ht="15.75" customHeight="1" s="198">
      <c r="I702" s="83" t="n"/>
      <c r="L702" s="21" t="n"/>
      <c r="M702" s="85" t="n"/>
      <c r="T702" s="84" t="n"/>
    </row>
    <row r="703" ht="15.75" customHeight="1" s="198">
      <c r="I703" s="83" t="n"/>
      <c r="L703" s="21" t="n"/>
      <c r="M703" s="85" t="n"/>
      <c r="T703" s="84" t="n"/>
    </row>
    <row r="704" ht="15.75" customHeight="1" s="198">
      <c r="I704" s="83" t="n"/>
      <c r="L704" s="21" t="n"/>
      <c r="M704" s="85" t="n"/>
      <c r="T704" s="84" t="n"/>
    </row>
    <row r="705" ht="15.75" customHeight="1" s="198">
      <c r="I705" s="83" t="n"/>
      <c r="L705" s="21" t="n"/>
      <c r="M705" s="85" t="n"/>
      <c r="T705" s="84" t="n"/>
    </row>
    <row r="706" ht="15.75" customHeight="1" s="198">
      <c r="I706" s="83" t="n"/>
      <c r="L706" s="21" t="n"/>
      <c r="M706" s="85" t="n"/>
      <c r="T706" s="84" t="n"/>
    </row>
    <row r="707" ht="15.75" customHeight="1" s="198">
      <c r="I707" s="83" t="n"/>
      <c r="L707" s="21" t="n"/>
      <c r="M707" s="85" t="n"/>
      <c r="T707" s="84" t="n"/>
    </row>
    <row r="708" ht="15.75" customHeight="1" s="198">
      <c r="I708" s="83" t="n"/>
      <c r="L708" s="21" t="n"/>
      <c r="M708" s="85" t="n"/>
      <c r="T708" s="84" t="n"/>
    </row>
    <row r="709" ht="15.75" customHeight="1" s="198">
      <c r="I709" s="83" t="n"/>
      <c r="L709" s="21" t="n"/>
      <c r="M709" s="85" t="n"/>
      <c r="T709" s="84" t="n"/>
    </row>
    <row r="710" ht="15.75" customHeight="1" s="198">
      <c r="I710" s="83" t="n"/>
      <c r="L710" s="21" t="n"/>
      <c r="M710" s="85" t="n"/>
      <c r="T710" s="84" t="n"/>
    </row>
    <row r="711" ht="15.75" customHeight="1" s="198">
      <c r="I711" s="83" t="n"/>
      <c r="L711" s="21" t="n"/>
      <c r="M711" s="85" t="n"/>
      <c r="T711" s="84" t="n"/>
    </row>
    <row r="712" ht="15.75" customHeight="1" s="198">
      <c r="I712" s="83" t="n"/>
      <c r="L712" s="21" t="n"/>
      <c r="M712" s="85" t="n"/>
      <c r="T712" s="84" t="n"/>
    </row>
    <row r="713" ht="15.75" customHeight="1" s="198">
      <c r="I713" s="83" t="n"/>
      <c r="L713" s="21" t="n"/>
      <c r="M713" s="85" t="n"/>
      <c r="T713" s="84" t="n"/>
    </row>
    <row r="714" ht="15.75" customHeight="1" s="198">
      <c r="I714" s="83" t="n"/>
      <c r="L714" s="21" t="n"/>
      <c r="M714" s="85" t="n"/>
      <c r="T714" s="84" t="n"/>
    </row>
    <row r="715" ht="15.75" customHeight="1" s="198">
      <c r="I715" s="83" t="n"/>
      <c r="L715" s="21" t="n"/>
      <c r="M715" s="85" t="n"/>
      <c r="T715" s="84" t="n"/>
    </row>
    <row r="716" ht="15.75" customHeight="1" s="198">
      <c r="I716" s="83" t="n"/>
      <c r="L716" s="21" t="n"/>
      <c r="M716" s="85" t="n"/>
      <c r="T716" s="84" t="n"/>
    </row>
    <row r="717" ht="15.75" customHeight="1" s="198">
      <c r="I717" s="83" t="n"/>
      <c r="L717" s="21" t="n"/>
      <c r="M717" s="85" t="n"/>
      <c r="T717" s="84" t="n"/>
    </row>
    <row r="718" ht="15.75" customHeight="1" s="198">
      <c r="I718" s="83" t="n"/>
      <c r="L718" s="21" t="n"/>
      <c r="M718" s="85" t="n"/>
      <c r="T718" s="84" t="n"/>
    </row>
    <row r="719" ht="15.75" customHeight="1" s="198">
      <c r="I719" s="83" t="n"/>
      <c r="L719" s="21" t="n"/>
      <c r="M719" s="85" t="n"/>
      <c r="T719" s="84" t="n"/>
    </row>
    <row r="720" ht="15.75" customHeight="1" s="198">
      <c r="I720" s="83" t="n"/>
      <c r="L720" s="21" t="n"/>
      <c r="M720" s="85" t="n"/>
      <c r="T720" s="84" t="n"/>
    </row>
    <row r="721" ht="15.75" customHeight="1" s="198">
      <c r="I721" s="83" t="n"/>
      <c r="L721" s="21" t="n"/>
      <c r="M721" s="85" t="n"/>
      <c r="T721" s="84" t="n"/>
    </row>
    <row r="722" ht="15.75" customHeight="1" s="198">
      <c r="I722" s="83" t="n"/>
      <c r="L722" s="21" t="n"/>
      <c r="M722" s="85" t="n"/>
      <c r="T722" s="84" t="n"/>
    </row>
    <row r="723" ht="15.75" customHeight="1" s="198">
      <c r="I723" s="83" t="n"/>
      <c r="L723" s="21" t="n"/>
      <c r="M723" s="85" t="n"/>
      <c r="T723" s="84" t="n"/>
    </row>
    <row r="724" ht="15.75" customHeight="1" s="198">
      <c r="I724" s="83" t="n"/>
      <c r="L724" s="21" t="n"/>
      <c r="M724" s="85" t="n"/>
      <c r="T724" s="84" t="n"/>
    </row>
    <row r="725" ht="15.75" customHeight="1" s="198">
      <c r="I725" s="83" t="n"/>
      <c r="L725" s="21" t="n"/>
      <c r="M725" s="85" t="n"/>
      <c r="T725" s="84" t="n"/>
    </row>
    <row r="726" ht="15.75" customHeight="1" s="198">
      <c r="I726" s="83" t="n"/>
      <c r="L726" s="21" t="n"/>
      <c r="M726" s="85" t="n"/>
      <c r="T726" s="84" t="n"/>
    </row>
    <row r="727" ht="15.75" customHeight="1" s="198">
      <c r="I727" s="83" t="n"/>
      <c r="L727" s="21" t="n"/>
      <c r="M727" s="85" t="n"/>
      <c r="T727" s="84" t="n"/>
    </row>
    <row r="728" ht="15.75" customHeight="1" s="198">
      <c r="I728" s="83" t="n"/>
      <c r="L728" s="21" t="n"/>
      <c r="M728" s="85" t="n"/>
      <c r="T728" s="84" t="n"/>
    </row>
    <row r="729" ht="15.75" customHeight="1" s="198">
      <c r="I729" s="83" t="n"/>
      <c r="L729" s="21" t="n"/>
      <c r="M729" s="85" t="n"/>
      <c r="T729" s="84" t="n"/>
    </row>
    <row r="730" ht="15.75" customHeight="1" s="198">
      <c r="I730" s="83" t="n"/>
      <c r="L730" s="21" t="n"/>
      <c r="M730" s="85" t="n"/>
      <c r="T730" s="84" t="n"/>
    </row>
    <row r="731" ht="15.75" customHeight="1" s="198">
      <c r="I731" s="83" t="n"/>
      <c r="L731" s="21" t="n"/>
      <c r="M731" s="85" t="n"/>
      <c r="T731" s="84" t="n"/>
    </row>
    <row r="732" ht="15.75" customHeight="1" s="198">
      <c r="I732" s="83" t="n"/>
      <c r="L732" s="21" t="n"/>
      <c r="M732" s="85" t="n"/>
      <c r="T732" s="84" t="n"/>
    </row>
    <row r="733" ht="15.75" customHeight="1" s="198">
      <c r="I733" s="83" t="n"/>
      <c r="L733" s="21" t="n"/>
      <c r="M733" s="85" t="n"/>
      <c r="T733" s="84" t="n"/>
    </row>
    <row r="734" ht="15.75" customHeight="1" s="198">
      <c r="I734" s="83" t="n"/>
      <c r="L734" s="21" t="n"/>
      <c r="M734" s="85" t="n"/>
      <c r="T734" s="84" t="n"/>
    </row>
    <row r="735" ht="15.75" customHeight="1" s="198">
      <c r="I735" s="83" t="n"/>
      <c r="L735" s="21" t="n"/>
      <c r="M735" s="85" t="n"/>
      <c r="T735" s="84" t="n"/>
    </row>
    <row r="736" ht="15.75" customHeight="1" s="198">
      <c r="I736" s="83" t="n"/>
      <c r="L736" s="21" t="n"/>
      <c r="M736" s="85" t="n"/>
      <c r="T736" s="84" t="n"/>
    </row>
    <row r="737" ht="15.75" customHeight="1" s="198">
      <c r="I737" s="83" t="n"/>
      <c r="L737" s="21" t="n"/>
      <c r="M737" s="85" t="n"/>
      <c r="T737" s="84" t="n"/>
    </row>
    <row r="738" ht="15.75" customHeight="1" s="198">
      <c r="I738" s="83" t="n"/>
      <c r="L738" s="21" t="n"/>
      <c r="M738" s="85" t="n"/>
      <c r="T738" s="84" t="n"/>
    </row>
    <row r="739" ht="15.75" customHeight="1" s="198">
      <c r="I739" s="83" t="n"/>
      <c r="L739" s="21" t="n"/>
      <c r="M739" s="85" t="n"/>
      <c r="T739" s="84" t="n"/>
    </row>
    <row r="740" ht="15.75" customHeight="1" s="198">
      <c r="I740" s="83" t="n"/>
      <c r="L740" s="21" t="n"/>
      <c r="M740" s="85" t="n"/>
      <c r="T740" s="84" t="n"/>
    </row>
    <row r="741" ht="15.75" customHeight="1" s="198">
      <c r="I741" s="83" t="n"/>
      <c r="L741" s="21" t="n"/>
      <c r="M741" s="85" t="n"/>
      <c r="T741" s="84" t="n"/>
    </row>
    <row r="742" ht="15.75" customHeight="1" s="198">
      <c r="I742" s="83" t="n"/>
      <c r="L742" s="21" t="n"/>
      <c r="M742" s="85" t="n"/>
      <c r="T742" s="84" t="n"/>
    </row>
    <row r="743" ht="15.75" customHeight="1" s="198">
      <c r="I743" s="83" t="n"/>
      <c r="L743" s="21" t="n"/>
      <c r="M743" s="85" t="n"/>
      <c r="T743" s="84" t="n"/>
    </row>
    <row r="744" ht="15.75" customHeight="1" s="198">
      <c r="I744" s="83" t="n"/>
      <c r="L744" s="21" t="n"/>
      <c r="M744" s="85" t="n"/>
      <c r="T744" s="84" t="n"/>
    </row>
    <row r="745" ht="15.75" customHeight="1" s="198">
      <c r="I745" s="83" t="n"/>
      <c r="L745" s="21" t="n"/>
      <c r="M745" s="85" t="n"/>
      <c r="T745" s="84" t="n"/>
    </row>
    <row r="746" ht="15.75" customHeight="1" s="198">
      <c r="I746" s="83" t="n"/>
      <c r="L746" s="21" t="n"/>
      <c r="M746" s="85" t="n"/>
      <c r="T746" s="84" t="n"/>
    </row>
    <row r="747" ht="15.75" customHeight="1" s="198">
      <c r="I747" s="83" t="n"/>
      <c r="L747" s="21" t="n"/>
      <c r="M747" s="85" t="n"/>
      <c r="T747" s="84" t="n"/>
    </row>
    <row r="748" ht="15.75" customHeight="1" s="198">
      <c r="I748" s="83" t="n"/>
      <c r="L748" s="21" t="n"/>
      <c r="M748" s="85" t="n"/>
      <c r="T748" s="84" t="n"/>
    </row>
    <row r="749" ht="15.75" customHeight="1" s="198">
      <c r="I749" s="83" t="n"/>
      <c r="L749" s="21" t="n"/>
      <c r="M749" s="85" t="n"/>
      <c r="T749" s="84" t="n"/>
    </row>
    <row r="750" ht="15.75" customHeight="1" s="198">
      <c r="I750" s="83" t="n"/>
      <c r="L750" s="21" t="n"/>
      <c r="M750" s="85" t="n"/>
      <c r="T750" s="84" t="n"/>
    </row>
    <row r="751" ht="15.75" customHeight="1" s="198">
      <c r="I751" s="83" t="n"/>
      <c r="L751" s="21" t="n"/>
      <c r="M751" s="85" t="n"/>
      <c r="T751" s="84" t="n"/>
    </row>
    <row r="752" ht="15.75" customHeight="1" s="198">
      <c r="I752" s="83" t="n"/>
      <c r="L752" s="21" t="n"/>
      <c r="M752" s="85" t="n"/>
      <c r="T752" s="84" t="n"/>
    </row>
    <row r="753" ht="15.75" customHeight="1" s="198">
      <c r="I753" s="83" t="n"/>
      <c r="L753" s="21" t="n"/>
      <c r="M753" s="85" t="n"/>
      <c r="T753" s="84" t="n"/>
    </row>
    <row r="754" ht="15.75" customHeight="1" s="198">
      <c r="I754" s="83" t="n"/>
      <c r="L754" s="21" t="n"/>
      <c r="M754" s="85" t="n"/>
      <c r="T754" s="84" t="n"/>
    </row>
    <row r="755" ht="15.75" customHeight="1" s="198">
      <c r="I755" s="83" t="n"/>
      <c r="L755" s="21" t="n"/>
      <c r="M755" s="85" t="n"/>
      <c r="T755" s="84" t="n"/>
    </row>
    <row r="756" ht="15.75" customHeight="1" s="198">
      <c r="I756" s="83" t="n"/>
      <c r="L756" s="21" t="n"/>
      <c r="M756" s="85" t="n"/>
      <c r="T756" s="84" t="n"/>
    </row>
    <row r="757" ht="15.75" customHeight="1" s="198">
      <c r="I757" s="83" t="n"/>
      <c r="L757" s="21" t="n"/>
      <c r="M757" s="85" t="n"/>
      <c r="T757" s="84" t="n"/>
    </row>
    <row r="758" ht="15.75" customHeight="1" s="198">
      <c r="I758" s="83" t="n"/>
      <c r="L758" s="21" t="n"/>
      <c r="M758" s="85" t="n"/>
      <c r="T758" s="84" t="n"/>
    </row>
    <row r="759" ht="15.75" customHeight="1" s="198">
      <c r="I759" s="83" t="n"/>
      <c r="L759" s="21" t="n"/>
      <c r="M759" s="85" t="n"/>
      <c r="T759" s="84" t="n"/>
    </row>
    <row r="760" ht="15.75" customHeight="1" s="198">
      <c r="I760" s="83" t="n"/>
      <c r="L760" s="21" t="n"/>
      <c r="M760" s="85" t="n"/>
      <c r="T760" s="84" t="n"/>
    </row>
    <row r="761" ht="15.75" customHeight="1" s="198">
      <c r="I761" s="83" t="n"/>
      <c r="L761" s="21" t="n"/>
      <c r="M761" s="85" t="n"/>
      <c r="T761" s="84" t="n"/>
    </row>
    <row r="762" ht="15.75" customHeight="1" s="198">
      <c r="I762" s="83" t="n"/>
      <c r="L762" s="21" t="n"/>
      <c r="M762" s="85" t="n"/>
      <c r="T762" s="84" t="n"/>
    </row>
    <row r="763" ht="15.75" customHeight="1" s="198">
      <c r="I763" s="83" t="n"/>
      <c r="L763" s="21" t="n"/>
      <c r="M763" s="85" t="n"/>
      <c r="T763" s="84" t="n"/>
    </row>
    <row r="764" ht="15.75" customHeight="1" s="198">
      <c r="I764" s="83" t="n"/>
      <c r="L764" s="21" t="n"/>
      <c r="M764" s="85" t="n"/>
      <c r="T764" s="84" t="n"/>
    </row>
    <row r="765" ht="15.75" customHeight="1" s="198">
      <c r="I765" s="83" t="n"/>
      <c r="L765" s="21" t="n"/>
      <c r="M765" s="85" t="n"/>
      <c r="T765" s="84" t="n"/>
    </row>
    <row r="766" ht="15.75" customHeight="1" s="198">
      <c r="I766" s="83" t="n"/>
      <c r="L766" s="21" t="n"/>
      <c r="M766" s="85" t="n"/>
      <c r="T766" s="84" t="n"/>
    </row>
    <row r="767" ht="15.75" customHeight="1" s="198">
      <c r="I767" s="83" t="n"/>
      <c r="L767" s="21" t="n"/>
      <c r="M767" s="85" t="n"/>
      <c r="T767" s="84" t="n"/>
    </row>
    <row r="768" ht="15.75" customHeight="1" s="198">
      <c r="I768" s="83" t="n"/>
      <c r="L768" s="21" t="n"/>
      <c r="M768" s="85" t="n"/>
      <c r="T768" s="84" t="n"/>
    </row>
    <row r="769" ht="15.75" customHeight="1" s="198">
      <c r="I769" s="83" t="n"/>
      <c r="L769" s="21" t="n"/>
      <c r="M769" s="85" t="n"/>
      <c r="T769" s="84" t="n"/>
    </row>
    <row r="770" ht="15.75" customHeight="1" s="198">
      <c r="I770" s="83" t="n"/>
      <c r="L770" s="21" t="n"/>
      <c r="M770" s="85" t="n"/>
      <c r="T770" s="84" t="n"/>
    </row>
    <row r="771" ht="15.75" customHeight="1" s="198">
      <c r="I771" s="83" t="n"/>
      <c r="L771" s="21" t="n"/>
      <c r="M771" s="85" t="n"/>
      <c r="T771" s="84" t="n"/>
    </row>
    <row r="772" ht="15.75" customHeight="1" s="198">
      <c r="I772" s="83" t="n"/>
      <c r="L772" s="21" t="n"/>
      <c r="M772" s="85" t="n"/>
      <c r="T772" s="84" t="n"/>
    </row>
    <row r="773" ht="15.75" customHeight="1" s="198">
      <c r="I773" s="83" t="n"/>
      <c r="L773" s="21" t="n"/>
      <c r="M773" s="85" t="n"/>
      <c r="T773" s="84" t="n"/>
    </row>
    <row r="774" ht="15.75" customHeight="1" s="198">
      <c r="I774" s="83" t="n"/>
      <c r="L774" s="21" t="n"/>
      <c r="M774" s="85" t="n"/>
      <c r="T774" s="84" t="n"/>
    </row>
    <row r="775" ht="15.75" customHeight="1" s="198">
      <c r="I775" s="83" t="n"/>
      <c r="L775" s="21" t="n"/>
      <c r="M775" s="85" t="n"/>
      <c r="T775" s="84" t="n"/>
    </row>
    <row r="776" ht="15.75" customHeight="1" s="198">
      <c r="I776" s="83" t="n"/>
      <c r="L776" s="21" t="n"/>
      <c r="M776" s="85" t="n"/>
      <c r="T776" s="84" t="n"/>
    </row>
    <row r="777" ht="15.75" customHeight="1" s="198">
      <c r="I777" s="83" t="n"/>
      <c r="L777" s="21" t="n"/>
      <c r="M777" s="85" t="n"/>
      <c r="T777" s="84" t="n"/>
    </row>
    <row r="778" ht="15.75" customHeight="1" s="198">
      <c r="I778" s="83" t="n"/>
      <c r="L778" s="21" t="n"/>
      <c r="M778" s="85" t="n"/>
      <c r="T778" s="84" t="n"/>
    </row>
    <row r="779" ht="15.75" customHeight="1" s="198">
      <c r="I779" s="83" t="n"/>
      <c r="L779" s="21" t="n"/>
      <c r="M779" s="85" t="n"/>
      <c r="T779" s="84" t="n"/>
    </row>
    <row r="780" ht="15.75" customHeight="1" s="198">
      <c r="I780" s="83" t="n"/>
      <c r="L780" s="21" t="n"/>
      <c r="M780" s="85" t="n"/>
      <c r="T780" s="84" t="n"/>
    </row>
    <row r="781" ht="15.75" customHeight="1" s="198">
      <c r="I781" s="83" t="n"/>
      <c r="L781" s="21" t="n"/>
      <c r="M781" s="85" t="n"/>
      <c r="T781" s="84" t="n"/>
    </row>
    <row r="782" ht="15.75" customHeight="1" s="198">
      <c r="I782" s="83" t="n"/>
      <c r="L782" s="21" t="n"/>
      <c r="M782" s="85" t="n"/>
      <c r="T782" s="84" t="n"/>
    </row>
    <row r="783" ht="15.75" customHeight="1" s="198">
      <c r="I783" s="83" t="n"/>
      <c r="L783" s="21" t="n"/>
      <c r="M783" s="85" t="n"/>
      <c r="T783" s="84" t="n"/>
    </row>
    <row r="784" ht="15.75" customHeight="1" s="198">
      <c r="I784" s="83" t="n"/>
      <c r="L784" s="21" t="n"/>
      <c r="M784" s="85" t="n"/>
      <c r="T784" s="84" t="n"/>
    </row>
    <row r="785" ht="15.75" customHeight="1" s="198">
      <c r="I785" s="83" t="n"/>
      <c r="L785" s="21" t="n"/>
      <c r="M785" s="85" t="n"/>
      <c r="T785" s="84" t="n"/>
    </row>
    <row r="786" ht="15.75" customHeight="1" s="198">
      <c r="I786" s="83" t="n"/>
      <c r="L786" s="21" t="n"/>
      <c r="M786" s="85" t="n"/>
      <c r="T786" s="84" t="n"/>
    </row>
    <row r="787" ht="15.75" customHeight="1" s="198">
      <c r="I787" s="83" t="n"/>
      <c r="L787" s="21" t="n"/>
      <c r="M787" s="85" t="n"/>
      <c r="T787" s="84" t="n"/>
    </row>
    <row r="788" ht="15.75" customHeight="1" s="198">
      <c r="I788" s="83" t="n"/>
      <c r="L788" s="21" t="n"/>
      <c r="M788" s="85" t="n"/>
      <c r="T788" s="84" t="n"/>
    </row>
    <row r="789" ht="15.75" customHeight="1" s="198">
      <c r="I789" s="83" t="n"/>
      <c r="L789" s="21" t="n"/>
      <c r="M789" s="85" t="n"/>
      <c r="T789" s="84" t="n"/>
    </row>
    <row r="790" ht="15.75" customHeight="1" s="198">
      <c r="I790" s="83" t="n"/>
      <c r="L790" s="21" t="n"/>
      <c r="M790" s="85" t="n"/>
      <c r="T790" s="84" t="n"/>
    </row>
    <row r="791" ht="15.75" customHeight="1" s="198">
      <c r="I791" s="83" t="n"/>
      <c r="L791" s="21" t="n"/>
      <c r="M791" s="85" t="n"/>
      <c r="T791" s="84" t="n"/>
    </row>
    <row r="792" ht="15.75" customHeight="1" s="198">
      <c r="I792" s="83" t="n"/>
      <c r="L792" s="21" t="n"/>
      <c r="M792" s="85" t="n"/>
      <c r="T792" s="84" t="n"/>
    </row>
    <row r="793" ht="15.75" customHeight="1" s="198">
      <c r="I793" s="83" t="n"/>
      <c r="L793" s="21" t="n"/>
      <c r="M793" s="85" t="n"/>
      <c r="T793" s="84" t="n"/>
    </row>
    <row r="794" ht="15.75" customHeight="1" s="198">
      <c r="I794" s="83" t="n"/>
      <c r="L794" s="21" t="n"/>
      <c r="M794" s="85" t="n"/>
      <c r="T794" s="84" t="n"/>
    </row>
    <row r="795" ht="15.75" customHeight="1" s="198">
      <c r="I795" s="83" t="n"/>
      <c r="L795" s="21" t="n"/>
      <c r="M795" s="85" t="n"/>
      <c r="T795" s="84" t="n"/>
    </row>
    <row r="796" ht="15.75" customHeight="1" s="198">
      <c r="I796" s="83" t="n"/>
      <c r="L796" s="21" t="n"/>
      <c r="M796" s="85" t="n"/>
      <c r="T796" s="84" t="n"/>
    </row>
    <row r="797" ht="15.75" customHeight="1" s="198">
      <c r="I797" s="83" t="n"/>
      <c r="L797" s="21" t="n"/>
      <c r="M797" s="85" t="n"/>
      <c r="T797" s="84" t="n"/>
    </row>
    <row r="798" ht="15.75" customHeight="1" s="198">
      <c r="I798" s="83" t="n"/>
      <c r="L798" s="21" t="n"/>
      <c r="M798" s="85" t="n"/>
      <c r="T798" s="84" t="n"/>
    </row>
    <row r="799" ht="15.75" customHeight="1" s="198">
      <c r="I799" s="83" t="n"/>
      <c r="L799" s="21" t="n"/>
      <c r="M799" s="85" t="n"/>
      <c r="T799" s="84" t="n"/>
    </row>
    <row r="800" ht="15.75" customHeight="1" s="198">
      <c r="I800" s="83" t="n"/>
      <c r="L800" s="21" t="n"/>
      <c r="M800" s="85" t="n"/>
      <c r="T800" s="84" t="n"/>
    </row>
    <row r="801" ht="15.75" customHeight="1" s="198">
      <c r="I801" s="83" t="n"/>
      <c r="L801" s="21" t="n"/>
      <c r="M801" s="85" t="n"/>
      <c r="T801" s="84" t="n"/>
    </row>
    <row r="802" ht="15.75" customHeight="1" s="198">
      <c r="I802" s="83" t="n"/>
      <c r="L802" s="21" t="n"/>
      <c r="M802" s="85" t="n"/>
      <c r="T802" s="84" t="n"/>
    </row>
    <row r="803" ht="15.75" customHeight="1" s="198">
      <c r="I803" s="83" t="n"/>
      <c r="L803" s="21" t="n"/>
      <c r="M803" s="85" t="n"/>
      <c r="T803" s="84" t="n"/>
    </row>
    <row r="804" ht="15.75" customHeight="1" s="198">
      <c r="I804" s="83" t="n"/>
      <c r="L804" s="21" t="n"/>
      <c r="M804" s="85" t="n"/>
      <c r="T804" s="84" t="n"/>
    </row>
    <row r="805" ht="15.75" customHeight="1" s="198">
      <c r="I805" s="83" t="n"/>
      <c r="L805" s="21" t="n"/>
      <c r="M805" s="85" t="n"/>
      <c r="T805" s="84" t="n"/>
    </row>
    <row r="806" ht="15.75" customHeight="1" s="198">
      <c r="I806" s="83" t="n"/>
      <c r="L806" s="21" t="n"/>
      <c r="M806" s="85" t="n"/>
      <c r="T806" s="84" t="n"/>
    </row>
    <row r="807" ht="15.75" customHeight="1" s="198">
      <c r="I807" s="83" t="n"/>
      <c r="L807" s="21" t="n"/>
      <c r="M807" s="85" t="n"/>
      <c r="T807" s="84" t="n"/>
    </row>
    <row r="808" ht="15.75" customHeight="1" s="198">
      <c r="I808" s="83" t="n"/>
      <c r="L808" s="21" t="n"/>
      <c r="M808" s="85" t="n"/>
      <c r="T808" s="84" t="n"/>
    </row>
    <row r="809" ht="15.75" customHeight="1" s="198">
      <c r="I809" s="83" t="n"/>
      <c r="L809" s="21" t="n"/>
      <c r="M809" s="85" t="n"/>
      <c r="T809" s="84" t="n"/>
    </row>
    <row r="810" ht="15.75" customHeight="1" s="198">
      <c r="I810" s="83" t="n"/>
      <c r="L810" s="21" t="n"/>
      <c r="M810" s="85" t="n"/>
      <c r="T810" s="84" t="n"/>
    </row>
    <row r="811" ht="15.75" customHeight="1" s="198">
      <c r="I811" s="83" t="n"/>
      <c r="L811" s="21" t="n"/>
      <c r="M811" s="85" t="n"/>
      <c r="T811" s="84" t="n"/>
    </row>
    <row r="812" ht="15.75" customHeight="1" s="198">
      <c r="I812" s="83" t="n"/>
      <c r="L812" s="21" t="n"/>
      <c r="M812" s="85" t="n"/>
      <c r="T812" s="84" t="n"/>
    </row>
    <row r="813" ht="15.75" customHeight="1" s="198">
      <c r="I813" s="83" t="n"/>
      <c r="L813" s="21" t="n"/>
      <c r="M813" s="85" t="n"/>
      <c r="T813" s="84" t="n"/>
    </row>
    <row r="814" ht="15.75" customHeight="1" s="198">
      <c r="I814" s="83" t="n"/>
      <c r="L814" s="21" t="n"/>
      <c r="M814" s="85" t="n"/>
      <c r="T814" s="84" t="n"/>
    </row>
    <row r="815" ht="15.75" customHeight="1" s="198">
      <c r="I815" s="83" t="n"/>
      <c r="L815" s="21" t="n"/>
      <c r="M815" s="85" t="n"/>
      <c r="T815" s="84" t="n"/>
    </row>
    <row r="816" ht="15.75" customHeight="1" s="198">
      <c r="I816" s="83" t="n"/>
      <c r="L816" s="21" t="n"/>
      <c r="M816" s="85" t="n"/>
      <c r="T816" s="84" t="n"/>
    </row>
    <row r="817" ht="15.75" customHeight="1" s="198">
      <c r="I817" s="83" t="n"/>
      <c r="L817" s="21" t="n"/>
      <c r="M817" s="85" t="n"/>
      <c r="T817" s="84" t="n"/>
    </row>
    <row r="818" ht="15.75" customHeight="1" s="198">
      <c r="I818" s="83" t="n"/>
      <c r="L818" s="21" t="n"/>
      <c r="M818" s="85" t="n"/>
      <c r="T818" s="84" t="n"/>
    </row>
    <row r="819" ht="15.75" customHeight="1" s="198">
      <c r="I819" s="83" t="n"/>
      <c r="L819" s="21" t="n"/>
      <c r="M819" s="85" t="n"/>
      <c r="T819" s="84" t="n"/>
    </row>
    <row r="820" ht="15.75" customHeight="1" s="198">
      <c r="I820" s="83" t="n"/>
      <c r="L820" s="21" t="n"/>
      <c r="M820" s="85" t="n"/>
      <c r="T820" s="84" t="n"/>
    </row>
    <row r="821" ht="15.75" customHeight="1" s="198">
      <c r="I821" s="83" t="n"/>
      <c r="L821" s="21" t="n"/>
      <c r="M821" s="85" t="n"/>
      <c r="T821" s="84" t="n"/>
    </row>
    <row r="822" ht="15.75" customHeight="1" s="198">
      <c r="I822" s="83" t="n"/>
      <c r="L822" s="21" t="n"/>
      <c r="M822" s="85" t="n"/>
      <c r="T822" s="84" t="n"/>
    </row>
    <row r="823" ht="15.75" customHeight="1" s="198">
      <c r="I823" s="83" t="n"/>
      <c r="L823" s="21" t="n"/>
      <c r="M823" s="85" t="n"/>
      <c r="T823" s="84" t="n"/>
    </row>
    <row r="824" ht="15.75" customHeight="1" s="198">
      <c r="I824" s="83" t="n"/>
      <c r="L824" s="21" t="n"/>
      <c r="M824" s="85" t="n"/>
      <c r="T824" s="84" t="n"/>
    </row>
    <row r="825" ht="15.75" customHeight="1" s="198">
      <c r="I825" s="83" t="n"/>
      <c r="L825" s="21" t="n"/>
      <c r="M825" s="85" t="n"/>
      <c r="T825" s="84" t="n"/>
    </row>
    <row r="826" ht="15.75" customHeight="1" s="198">
      <c r="I826" s="83" t="n"/>
      <c r="L826" s="21" t="n"/>
      <c r="M826" s="85" t="n"/>
      <c r="T826" s="84" t="n"/>
    </row>
    <row r="827" ht="15.75" customHeight="1" s="198">
      <c r="I827" s="83" t="n"/>
      <c r="L827" s="21" t="n"/>
      <c r="M827" s="85" t="n"/>
      <c r="T827" s="84" t="n"/>
    </row>
    <row r="828" ht="15.75" customHeight="1" s="198">
      <c r="I828" s="83" t="n"/>
      <c r="L828" s="21" t="n"/>
      <c r="M828" s="85" t="n"/>
      <c r="T828" s="84" t="n"/>
    </row>
    <row r="829" ht="15.75" customHeight="1" s="198">
      <c r="I829" s="83" t="n"/>
      <c r="L829" s="21" t="n"/>
      <c r="M829" s="85" t="n"/>
      <c r="T829" s="84" t="n"/>
    </row>
    <row r="830" ht="15.75" customHeight="1" s="198">
      <c r="I830" s="83" t="n"/>
      <c r="L830" s="21" t="n"/>
      <c r="M830" s="85" t="n"/>
      <c r="T830" s="84" t="n"/>
    </row>
    <row r="831" ht="15.75" customHeight="1" s="198">
      <c r="I831" s="83" t="n"/>
      <c r="L831" s="21" t="n"/>
      <c r="M831" s="85" t="n"/>
      <c r="T831" s="84" t="n"/>
    </row>
    <row r="832" ht="15.75" customHeight="1" s="198">
      <c r="I832" s="83" t="n"/>
      <c r="L832" s="21" t="n"/>
      <c r="M832" s="85" t="n"/>
      <c r="T832" s="84" t="n"/>
    </row>
    <row r="833" ht="15.75" customHeight="1" s="198">
      <c r="I833" s="83" t="n"/>
      <c r="L833" s="21" t="n"/>
      <c r="M833" s="85" t="n"/>
      <c r="T833" s="84" t="n"/>
    </row>
    <row r="834" ht="15.75" customHeight="1" s="198">
      <c r="I834" s="83" t="n"/>
      <c r="L834" s="21" t="n"/>
      <c r="M834" s="85" t="n"/>
      <c r="T834" s="84" t="n"/>
    </row>
    <row r="835" ht="15.75" customHeight="1" s="198">
      <c r="I835" s="83" t="n"/>
      <c r="L835" s="21" t="n"/>
      <c r="M835" s="85" t="n"/>
      <c r="T835" s="84" t="n"/>
    </row>
    <row r="836" ht="15.75" customHeight="1" s="198">
      <c r="I836" s="83" t="n"/>
      <c r="L836" s="21" t="n"/>
      <c r="M836" s="85" t="n"/>
      <c r="T836" s="84" t="n"/>
    </row>
    <row r="837" ht="15.75" customHeight="1" s="198">
      <c r="I837" s="83" t="n"/>
      <c r="L837" s="21" t="n"/>
      <c r="M837" s="85" t="n"/>
      <c r="T837" s="84" t="n"/>
    </row>
    <row r="838" ht="15.75" customHeight="1" s="198">
      <c r="I838" s="83" t="n"/>
      <c r="L838" s="21" t="n"/>
      <c r="M838" s="85" t="n"/>
      <c r="T838" s="84" t="n"/>
    </row>
    <row r="839" ht="15.75" customHeight="1" s="198">
      <c r="I839" s="83" t="n"/>
      <c r="L839" s="21" t="n"/>
      <c r="M839" s="85" t="n"/>
      <c r="T839" s="84" t="n"/>
    </row>
    <row r="840" ht="15.75" customHeight="1" s="198">
      <c r="I840" s="83" t="n"/>
      <c r="L840" s="21" t="n"/>
      <c r="M840" s="85" t="n"/>
      <c r="T840" s="84" t="n"/>
    </row>
    <row r="841" ht="15.75" customHeight="1" s="198">
      <c r="I841" s="83" t="n"/>
      <c r="L841" s="21" t="n"/>
      <c r="M841" s="85" t="n"/>
      <c r="T841" s="84" t="n"/>
    </row>
    <row r="842" ht="15.75" customHeight="1" s="198">
      <c r="I842" s="83" t="n"/>
      <c r="L842" s="21" t="n"/>
      <c r="M842" s="85" t="n"/>
      <c r="T842" s="84" t="n"/>
    </row>
    <row r="843" ht="15.75" customHeight="1" s="198">
      <c r="I843" s="83" t="n"/>
      <c r="L843" s="21" t="n"/>
      <c r="M843" s="85" t="n"/>
      <c r="T843" s="84" t="n"/>
    </row>
    <row r="844" ht="15.75" customHeight="1" s="198">
      <c r="I844" s="83" t="n"/>
      <c r="L844" s="21" t="n"/>
      <c r="M844" s="85" t="n"/>
      <c r="T844" s="84" t="n"/>
    </row>
    <row r="845" ht="15.75" customHeight="1" s="198">
      <c r="I845" s="83" t="n"/>
      <c r="L845" s="21" t="n"/>
      <c r="M845" s="85" t="n"/>
      <c r="T845" s="84" t="n"/>
    </row>
    <row r="846" ht="15.75" customHeight="1" s="198">
      <c r="I846" s="83" t="n"/>
      <c r="L846" s="21" t="n"/>
      <c r="M846" s="85" t="n"/>
      <c r="T846" s="84" t="n"/>
    </row>
    <row r="847" ht="15.75" customHeight="1" s="198">
      <c r="I847" s="83" t="n"/>
      <c r="L847" s="21" t="n"/>
      <c r="M847" s="85" t="n"/>
      <c r="T847" s="84" t="n"/>
    </row>
    <row r="848" ht="15.75" customHeight="1" s="198">
      <c r="I848" s="83" t="n"/>
      <c r="L848" s="21" t="n"/>
      <c r="M848" s="85" t="n"/>
      <c r="T848" s="84" t="n"/>
    </row>
    <row r="849" ht="15.75" customHeight="1" s="198">
      <c r="I849" s="83" t="n"/>
      <c r="L849" s="21" t="n"/>
      <c r="M849" s="85" t="n"/>
      <c r="T849" s="84" t="n"/>
    </row>
    <row r="850" ht="15.75" customHeight="1" s="198">
      <c r="I850" s="83" t="n"/>
      <c r="L850" s="21" t="n"/>
      <c r="M850" s="85" t="n"/>
      <c r="T850" s="84" t="n"/>
    </row>
    <row r="851" ht="15.75" customHeight="1" s="198">
      <c r="I851" s="83" t="n"/>
      <c r="L851" s="21" t="n"/>
      <c r="M851" s="85" t="n"/>
      <c r="T851" s="84" t="n"/>
    </row>
    <row r="852" ht="15.75" customHeight="1" s="198">
      <c r="I852" s="83" t="n"/>
      <c r="L852" s="21" t="n"/>
      <c r="M852" s="85" t="n"/>
      <c r="T852" s="84" t="n"/>
    </row>
    <row r="853" ht="15.75" customHeight="1" s="198">
      <c r="I853" s="83" t="n"/>
      <c r="L853" s="21" t="n"/>
      <c r="M853" s="85" t="n"/>
      <c r="T853" s="84" t="n"/>
    </row>
    <row r="854" ht="15.75" customHeight="1" s="198">
      <c r="I854" s="83" t="n"/>
      <c r="L854" s="21" t="n"/>
      <c r="M854" s="85" t="n"/>
      <c r="T854" s="84" t="n"/>
    </row>
    <row r="855" ht="15.75" customHeight="1" s="198">
      <c r="I855" s="83" t="n"/>
      <c r="L855" s="21" t="n"/>
      <c r="M855" s="85" t="n"/>
      <c r="T855" s="84" t="n"/>
    </row>
    <row r="856" ht="15.75" customHeight="1" s="198">
      <c r="I856" s="83" t="n"/>
      <c r="L856" s="21" t="n"/>
      <c r="M856" s="85" t="n"/>
      <c r="T856" s="84" t="n"/>
    </row>
    <row r="857" ht="15.75" customHeight="1" s="198">
      <c r="I857" s="83" t="n"/>
      <c r="L857" s="21" t="n"/>
      <c r="M857" s="85" t="n"/>
      <c r="T857" s="84" t="n"/>
    </row>
    <row r="858" ht="15.75" customHeight="1" s="198">
      <c r="I858" s="83" t="n"/>
      <c r="L858" s="21" t="n"/>
      <c r="M858" s="85" t="n"/>
      <c r="T858" s="84" t="n"/>
    </row>
    <row r="859" ht="15.75" customHeight="1" s="198">
      <c r="I859" s="83" t="n"/>
      <c r="L859" s="21" t="n"/>
      <c r="M859" s="85" t="n"/>
      <c r="T859" s="84" t="n"/>
    </row>
    <row r="860" ht="15.75" customHeight="1" s="198">
      <c r="I860" s="83" t="n"/>
      <c r="L860" s="21" t="n"/>
      <c r="M860" s="85" t="n"/>
      <c r="T860" s="84" t="n"/>
    </row>
    <row r="861" ht="15.75" customHeight="1" s="198">
      <c r="I861" s="83" t="n"/>
      <c r="L861" s="21" t="n"/>
      <c r="M861" s="85" t="n"/>
      <c r="T861" s="84" t="n"/>
    </row>
    <row r="862" ht="15.75" customHeight="1" s="198">
      <c r="I862" s="83" t="n"/>
      <c r="L862" s="21" t="n"/>
      <c r="M862" s="85" t="n"/>
      <c r="T862" s="84" t="n"/>
    </row>
    <row r="863" ht="15.75" customHeight="1" s="198">
      <c r="I863" s="83" t="n"/>
      <c r="L863" s="21" t="n"/>
      <c r="M863" s="85" t="n"/>
      <c r="T863" s="84" t="n"/>
    </row>
    <row r="864" ht="15.75" customHeight="1" s="198">
      <c r="I864" s="83" t="n"/>
      <c r="L864" s="21" t="n"/>
      <c r="M864" s="85" t="n"/>
      <c r="T864" s="84" t="n"/>
    </row>
    <row r="865" ht="15.75" customHeight="1" s="198">
      <c r="I865" s="83" t="n"/>
      <c r="L865" s="21" t="n"/>
      <c r="M865" s="85" t="n"/>
      <c r="T865" s="84" t="n"/>
    </row>
    <row r="866" ht="15.75" customHeight="1" s="198">
      <c r="I866" s="83" t="n"/>
      <c r="L866" s="21" t="n"/>
      <c r="M866" s="85" t="n"/>
      <c r="T866" s="84" t="n"/>
    </row>
    <row r="867" ht="15.75" customHeight="1" s="198">
      <c r="I867" s="83" t="n"/>
      <c r="L867" s="21" t="n"/>
      <c r="M867" s="85" t="n"/>
      <c r="T867" s="84" t="n"/>
    </row>
    <row r="868" ht="15.75" customHeight="1" s="198">
      <c r="I868" s="83" t="n"/>
      <c r="L868" s="21" t="n"/>
      <c r="M868" s="85" t="n"/>
      <c r="T868" s="84" t="n"/>
    </row>
    <row r="869" ht="15.75" customHeight="1" s="198">
      <c r="I869" s="83" t="n"/>
      <c r="L869" s="21" t="n"/>
      <c r="M869" s="85" t="n"/>
      <c r="T869" s="84" t="n"/>
    </row>
    <row r="870" ht="15.75" customHeight="1" s="198">
      <c r="I870" s="83" t="n"/>
      <c r="L870" s="21" t="n"/>
      <c r="M870" s="85" t="n"/>
      <c r="T870" s="84" t="n"/>
    </row>
    <row r="871" ht="15.75" customHeight="1" s="198">
      <c r="I871" s="83" t="n"/>
      <c r="L871" s="21" t="n"/>
      <c r="M871" s="85" t="n"/>
      <c r="T871" s="84" t="n"/>
    </row>
    <row r="872" ht="15.75" customHeight="1" s="198">
      <c r="I872" s="83" t="n"/>
      <c r="L872" s="21" t="n"/>
      <c r="M872" s="85" t="n"/>
      <c r="T872" s="84" t="n"/>
    </row>
    <row r="873" ht="15.75" customHeight="1" s="198">
      <c r="I873" s="83" t="n"/>
      <c r="L873" s="21" t="n"/>
      <c r="M873" s="85" t="n"/>
      <c r="T873" s="84" t="n"/>
    </row>
    <row r="874" ht="15.75" customHeight="1" s="198">
      <c r="I874" s="83" t="n"/>
      <c r="L874" s="21" t="n"/>
      <c r="M874" s="85" t="n"/>
      <c r="T874" s="84" t="n"/>
    </row>
    <row r="875" ht="15.75" customHeight="1" s="198">
      <c r="I875" s="83" t="n"/>
      <c r="L875" s="21" t="n"/>
      <c r="M875" s="85" t="n"/>
      <c r="T875" s="84" t="n"/>
    </row>
    <row r="876" ht="15.75" customHeight="1" s="198">
      <c r="I876" s="83" t="n"/>
      <c r="L876" s="21" t="n"/>
      <c r="M876" s="85" t="n"/>
      <c r="T876" s="84" t="n"/>
    </row>
    <row r="877" ht="15.75" customHeight="1" s="198">
      <c r="I877" s="83" t="n"/>
      <c r="L877" s="21" t="n"/>
      <c r="M877" s="85" t="n"/>
      <c r="T877" s="84" t="n"/>
    </row>
    <row r="878" ht="15.75" customHeight="1" s="198">
      <c r="I878" s="83" t="n"/>
      <c r="L878" s="21" t="n"/>
      <c r="M878" s="85" t="n"/>
      <c r="T878" s="84" t="n"/>
    </row>
    <row r="879" ht="15.75" customHeight="1" s="198">
      <c r="I879" s="83" t="n"/>
      <c r="L879" s="21" t="n"/>
      <c r="M879" s="85" t="n"/>
      <c r="T879" s="84" t="n"/>
    </row>
    <row r="880" ht="15.75" customHeight="1" s="198">
      <c r="I880" s="83" t="n"/>
      <c r="L880" s="21" t="n"/>
      <c r="M880" s="85" t="n"/>
      <c r="T880" s="84" t="n"/>
    </row>
    <row r="881" ht="15.75" customHeight="1" s="198">
      <c r="I881" s="83" t="n"/>
      <c r="L881" s="21" t="n"/>
      <c r="M881" s="85" t="n"/>
      <c r="T881" s="84" t="n"/>
    </row>
    <row r="882" ht="15.75" customHeight="1" s="198">
      <c r="I882" s="83" t="n"/>
      <c r="L882" s="21" t="n"/>
      <c r="M882" s="85" t="n"/>
      <c r="T882" s="84" t="n"/>
    </row>
    <row r="883" ht="15.75" customHeight="1" s="198">
      <c r="I883" s="83" t="n"/>
      <c r="L883" s="21" t="n"/>
      <c r="M883" s="85" t="n"/>
      <c r="T883" s="84" t="n"/>
    </row>
    <row r="884" ht="15.75" customHeight="1" s="198">
      <c r="I884" s="83" t="n"/>
      <c r="L884" s="21" t="n"/>
      <c r="M884" s="85" t="n"/>
      <c r="T884" s="84" t="n"/>
    </row>
    <row r="885" ht="15.75" customHeight="1" s="198">
      <c r="I885" s="83" t="n"/>
      <c r="L885" s="21" t="n"/>
      <c r="M885" s="85" t="n"/>
      <c r="T885" s="84" t="n"/>
    </row>
    <row r="886" ht="15.75" customHeight="1" s="198">
      <c r="I886" s="83" t="n"/>
      <c r="L886" s="21" t="n"/>
      <c r="M886" s="85" t="n"/>
      <c r="T886" s="84" t="n"/>
    </row>
    <row r="887" ht="15.75" customHeight="1" s="198">
      <c r="I887" s="83" t="n"/>
      <c r="L887" s="21" t="n"/>
      <c r="M887" s="85" t="n"/>
      <c r="T887" s="84" t="n"/>
    </row>
    <row r="888" ht="15.75" customHeight="1" s="198">
      <c r="I888" s="83" t="n"/>
      <c r="L888" s="21" t="n"/>
      <c r="M888" s="85" t="n"/>
      <c r="T888" s="84" t="n"/>
    </row>
    <row r="889" ht="15.75" customHeight="1" s="198">
      <c r="I889" s="83" t="n"/>
      <c r="L889" s="21" t="n"/>
      <c r="M889" s="85" t="n"/>
      <c r="T889" s="84" t="n"/>
    </row>
    <row r="890" ht="15.75" customHeight="1" s="198">
      <c r="I890" s="83" t="n"/>
      <c r="L890" s="21" t="n"/>
      <c r="M890" s="85" t="n"/>
      <c r="T890" s="84" t="n"/>
    </row>
    <row r="891" ht="15.75" customHeight="1" s="198">
      <c r="I891" s="83" t="n"/>
      <c r="L891" s="21" t="n"/>
      <c r="M891" s="85" t="n"/>
      <c r="T891" s="84" t="n"/>
    </row>
    <row r="892" ht="15.75" customHeight="1" s="198">
      <c r="I892" s="83" t="n"/>
      <c r="L892" s="21" t="n"/>
      <c r="M892" s="85" t="n"/>
      <c r="T892" s="84" t="n"/>
    </row>
    <row r="893" ht="15.75" customHeight="1" s="198">
      <c r="I893" s="83" t="n"/>
      <c r="L893" s="21" t="n"/>
      <c r="M893" s="85" t="n"/>
      <c r="T893" s="84" t="n"/>
    </row>
    <row r="894" ht="15.75" customHeight="1" s="198">
      <c r="I894" s="83" t="n"/>
      <c r="L894" s="21" t="n"/>
      <c r="M894" s="85" t="n"/>
      <c r="T894" s="84" t="n"/>
    </row>
    <row r="895" ht="15.75" customHeight="1" s="198">
      <c r="I895" s="83" t="n"/>
      <c r="L895" s="21" t="n"/>
      <c r="M895" s="85" t="n"/>
      <c r="T895" s="84" t="n"/>
    </row>
    <row r="896" ht="15.75" customHeight="1" s="198">
      <c r="I896" s="83" t="n"/>
      <c r="L896" s="21" t="n"/>
      <c r="M896" s="85" t="n"/>
      <c r="T896" s="84" t="n"/>
    </row>
    <row r="897" ht="15.75" customHeight="1" s="198">
      <c r="I897" s="83" t="n"/>
      <c r="L897" s="21" t="n"/>
      <c r="M897" s="85" t="n"/>
      <c r="T897" s="84" t="n"/>
    </row>
    <row r="898" ht="15.75" customHeight="1" s="198">
      <c r="I898" s="83" t="n"/>
      <c r="L898" s="21" t="n"/>
      <c r="M898" s="85" t="n"/>
      <c r="T898" s="84" t="n"/>
    </row>
    <row r="899" ht="15.75" customHeight="1" s="198">
      <c r="I899" s="83" t="n"/>
      <c r="L899" s="21" t="n"/>
      <c r="M899" s="85" t="n"/>
      <c r="T899" s="84" t="n"/>
    </row>
    <row r="900" ht="15.75" customHeight="1" s="198">
      <c r="I900" s="83" t="n"/>
      <c r="L900" s="21" t="n"/>
      <c r="M900" s="85" t="n"/>
      <c r="T900" s="84" t="n"/>
    </row>
    <row r="901" ht="15.75" customHeight="1" s="198">
      <c r="I901" s="83" t="n"/>
      <c r="L901" s="21" t="n"/>
      <c r="M901" s="85" t="n"/>
      <c r="T901" s="84" t="n"/>
    </row>
    <row r="902" ht="15.75" customHeight="1" s="198">
      <c r="I902" s="83" t="n"/>
      <c r="L902" s="21" t="n"/>
      <c r="M902" s="85" t="n"/>
      <c r="T902" s="84" t="n"/>
    </row>
    <row r="903" ht="15.75" customHeight="1" s="198">
      <c r="I903" s="83" t="n"/>
      <c r="L903" s="21" t="n"/>
      <c r="M903" s="85" t="n"/>
      <c r="T903" s="84" t="n"/>
    </row>
    <row r="904" ht="15.75" customHeight="1" s="198">
      <c r="I904" s="83" t="n"/>
      <c r="L904" s="21" t="n"/>
      <c r="M904" s="85" t="n"/>
      <c r="T904" s="84" t="n"/>
    </row>
    <row r="905" ht="15.75" customHeight="1" s="198">
      <c r="I905" s="83" t="n"/>
      <c r="L905" s="21" t="n"/>
      <c r="M905" s="85" t="n"/>
      <c r="T905" s="84" t="n"/>
    </row>
    <row r="906" ht="15.75" customHeight="1" s="198">
      <c r="I906" s="83" t="n"/>
      <c r="L906" s="21" t="n"/>
      <c r="M906" s="85" t="n"/>
      <c r="T906" s="84" t="n"/>
    </row>
    <row r="907" ht="15.75" customHeight="1" s="198">
      <c r="I907" s="83" t="n"/>
      <c r="L907" s="21" t="n"/>
      <c r="M907" s="85" t="n"/>
      <c r="T907" s="84" t="n"/>
    </row>
    <row r="908" ht="15.75" customHeight="1" s="198">
      <c r="I908" s="83" t="n"/>
      <c r="L908" s="21" t="n"/>
      <c r="M908" s="85" t="n"/>
      <c r="T908" s="84" t="n"/>
    </row>
    <row r="909" ht="15.75" customHeight="1" s="198">
      <c r="I909" s="83" t="n"/>
      <c r="L909" s="21" t="n"/>
      <c r="M909" s="85" t="n"/>
      <c r="T909" s="84" t="n"/>
    </row>
    <row r="910" ht="15.75" customHeight="1" s="198">
      <c r="I910" s="83" t="n"/>
      <c r="L910" s="21" t="n"/>
      <c r="M910" s="85" t="n"/>
      <c r="T910" s="84" t="n"/>
    </row>
    <row r="911" ht="15.75" customHeight="1" s="198">
      <c r="I911" s="83" t="n"/>
      <c r="L911" s="21" t="n"/>
      <c r="M911" s="85" t="n"/>
      <c r="T911" s="84" t="n"/>
    </row>
    <row r="912" ht="15.75" customHeight="1" s="198">
      <c r="I912" s="83" t="n"/>
      <c r="L912" s="21" t="n"/>
      <c r="M912" s="85" t="n"/>
      <c r="T912" s="84" t="n"/>
    </row>
    <row r="913" ht="15.75" customHeight="1" s="198">
      <c r="I913" s="83" t="n"/>
      <c r="L913" s="21" t="n"/>
      <c r="M913" s="85" t="n"/>
      <c r="T913" s="84" t="n"/>
    </row>
    <row r="914" ht="15.75" customHeight="1" s="198">
      <c r="I914" s="83" t="n"/>
      <c r="L914" s="21" t="n"/>
      <c r="M914" s="85" t="n"/>
      <c r="T914" s="84" t="n"/>
    </row>
    <row r="915" ht="15.75" customHeight="1" s="198">
      <c r="I915" s="83" t="n"/>
      <c r="L915" s="21" t="n"/>
      <c r="M915" s="85" t="n"/>
      <c r="T915" s="84" t="n"/>
    </row>
    <row r="916" ht="15.75" customHeight="1" s="198">
      <c r="I916" s="83" t="n"/>
      <c r="L916" s="21" t="n"/>
      <c r="M916" s="85" t="n"/>
      <c r="T916" s="84" t="n"/>
    </row>
    <row r="917" ht="15.75" customHeight="1" s="198">
      <c r="I917" s="83" t="n"/>
      <c r="L917" s="21" t="n"/>
      <c r="M917" s="85" t="n"/>
      <c r="T917" s="84" t="n"/>
    </row>
    <row r="918" ht="15.75" customHeight="1" s="198">
      <c r="I918" s="83" t="n"/>
      <c r="L918" s="21" t="n"/>
      <c r="M918" s="85" t="n"/>
      <c r="T918" s="84" t="n"/>
    </row>
    <row r="919" ht="15.75" customHeight="1" s="198">
      <c r="I919" s="83" t="n"/>
      <c r="L919" s="21" t="n"/>
      <c r="M919" s="85" t="n"/>
      <c r="T919" s="84" t="n"/>
    </row>
    <row r="920" ht="15.75" customHeight="1" s="198">
      <c r="I920" s="83" t="n"/>
      <c r="L920" s="21" t="n"/>
      <c r="M920" s="85" t="n"/>
      <c r="T920" s="84" t="n"/>
    </row>
    <row r="921" ht="15.75" customHeight="1" s="198">
      <c r="I921" s="83" t="n"/>
      <c r="L921" s="21" t="n"/>
      <c r="M921" s="85" t="n"/>
      <c r="T921" s="84" t="n"/>
    </row>
    <row r="922" ht="15.75" customHeight="1" s="198">
      <c r="I922" s="83" t="n"/>
      <c r="L922" s="21" t="n"/>
      <c r="M922" s="85" t="n"/>
      <c r="T922" s="84" t="n"/>
    </row>
    <row r="923" ht="15.75" customHeight="1" s="198">
      <c r="I923" s="83" t="n"/>
      <c r="L923" s="21" t="n"/>
      <c r="M923" s="85" t="n"/>
      <c r="T923" s="84" t="n"/>
    </row>
    <row r="924" ht="15.75" customHeight="1" s="198">
      <c r="I924" s="83" t="n"/>
      <c r="L924" s="21" t="n"/>
      <c r="M924" s="85" t="n"/>
      <c r="T924" s="84" t="n"/>
    </row>
    <row r="925" ht="15.75" customHeight="1" s="198">
      <c r="I925" s="83" t="n"/>
      <c r="L925" s="21" t="n"/>
      <c r="M925" s="85" t="n"/>
      <c r="T925" s="84" t="n"/>
    </row>
    <row r="926" ht="15.75" customHeight="1" s="198">
      <c r="I926" s="83" t="n"/>
      <c r="L926" s="21" t="n"/>
      <c r="M926" s="85" t="n"/>
      <c r="T926" s="84" t="n"/>
    </row>
    <row r="927" ht="15.75" customHeight="1" s="198">
      <c r="I927" s="83" t="n"/>
      <c r="L927" s="21" t="n"/>
      <c r="M927" s="85" t="n"/>
      <c r="T927" s="84" t="n"/>
    </row>
    <row r="928" ht="15.75" customHeight="1" s="198">
      <c r="I928" s="83" t="n"/>
      <c r="L928" s="21" t="n"/>
      <c r="M928" s="85" t="n"/>
      <c r="T928" s="84" t="n"/>
    </row>
    <row r="929" ht="15.75" customHeight="1" s="198">
      <c r="I929" s="83" t="n"/>
      <c r="L929" s="21" t="n"/>
      <c r="M929" s="85" t="n"/>
      <c r="T929" s="84" t="n"/>
    </row>
    <row r="930" ht="15.75" customHeight="1" s="198">
      <c r="I930" s="83" t="n"/>
      <c r="L930" s="21" t="n"/>
      <c r="M930" s="85" t="n"/>
      <c r="T930" s="84" t="n"/>
    </row>
    <row r="931" ht="15.75" customHeight="1" s="198">
      <c r="I931" s="83" t="n"/>
      <c r="L931" s="21" t="n"/>
      <c r="M931" s="85" t="n"/>
      <c r="T931" s="84" t="n"/>
    </row>
    <row r="932" ht="15.75" customHeight="1" s="198">
      <c r="I932" s="83" t="n"/>
      <c r="L932" s="21" t="n"/>
      <c r="M932" s="85" t="n"/>
      <c r="T932" s="84" t="n"/>
    </row>
    <row r="933" ht="15.75" customHeight="1" s="198">
      <c r="I933" s="83" t="n"/>
      <c r="L933" s="21" t="n"/>
      <c r="M933" s="85" t="n"/>
      <c r="T933" s="84" t="n"/>
    </row>
    <row r="934" ht="15.75" customHeight="1" s="198">
      <c r="I934" s="83" t="n"/>
      <c r="L934" s="21" t="n"/>
      <c r="M934" s="85" t="n"/>
      <c r="T934" s="84" t="n"/>
    </row>
    <row r="935" ht="15.75" customHeight="1" s="198">
      <c r="I935" s="83" t="n"/>
      <c r="L935" s="21" t="n"/>
      <c r="M935" s="85" t="n"/>
      <c r="T935" s="84" t="n"/>
    </row>
    <row r="936" ht="15.75" customHeight="1" s="198">
      <c r="I936" s="83" t="n"/>
      <c r="L936" s="21" t="n"/>
      <c r="M936" s="85" t="n"/>
      <c r="T936" s="84" t="n"/>
    </row>
    <row r="937" ht="15.75" customHeight="1" s="198">
      <c r="I937" s="83" t="n"/>
      <c r="L937" s="21" t="n"/>
      <c r="M937" s="85" t="n"/>
      <c r="T937" s="84" t="n"/>
    </row>
    <row r="938" ht="15.75" customHeight="1" s="198">
      <c r="I938" s="83" t="n"/>
      <c r="L938" s="21" t="n"/>
      <c r="M938" s="85" t="n"/>
      <c r="T938" s="84" t="n"/>
    </row>
    <row r="939" ht="15.75" customHeight="1" s="198">
      <c r="I939" s="83" t="n"/>
      <c r="L939" s="21" t="n"/>
      <c r="M939" s="85" t="n"/>
      <c r="T939" s="84" t="n"/>
    </row>
    <row r="940" ht="15.75" customHeight="1" s="198">
      <c r="I940" s="83" t="n"/>
      <c r="L940" s="21" t="n"/>
      <c r="M940" s="85" t="n"/>
      <c r="T940" s="84" t="n"/>
    </row>
    <row r="941" ht="15.75" customHeight="1" s="198">
      <c r="I941" s="83" t="n"/>
      <c r="L941" s="21" t="n"/>
      <c r="M941" s="85" t="n"/>
      <c r="T941" s="84" t="n"/>
    </row>
    <row r="942" ht="15.75" customHeight="1" s="198">
      <c r="I942" s="83" t="n"/>
      <c r="L942" s="21" t="n"/>
      <c r="M942" s="85" t="n"/>
      <c r="T942" s="84" t="n"/>
    </row>
    <row r="943" ht="15.75" customHeight="1" s="198">
      <c r="I943" s="83" t="n"/>
      <c r="L943" s="21" t="n"/>
      <c r="M943" s="85" t="n"/>
      <c r="T943" s="84" t="n"/>
    </row>
    <row r="944" ht="15.75" customHeight="1" s="198">
      <c r="I944" s="83" t="n"/>
      <c r="L944" s="21" t="n"/>
      <c r="M944" s="85" t="n"/>
      <c r="T944" s="84" t="n"/>
    </row>
    <row r="945" ht="15.75" customHeight="1" s="198">
      <c r="I945" s="83" t="n"/>
      <c r="L945" s="21" t="n"/>
      <c r="M945" s="85" t="n"/>
      <c r="T945" s="84" t="n"/>
    </row>
    <row r="946" ht="15.75" customHeight="1" s="198">
      <c r="I946" s="83" t="n"/>
      <c r="L946" s="21" t="n"/>
      <c r="M946" s="85" t="n"/>
      <c r="T946" s="84" t="n"/>
    </row>
    <row r="947" ht="15.75" customHeight="1" s="198">
      <c r="I947" s="83" t="n"/>
      <c r="L947" s="21" t="n"/>
      <c r="M947" s="85" t="n"/>
      <c r="T947" s="84" t="n"/>
    </row>
    <row r="948" ht="15.75" customHeight="1" s="198">
      <c r="I948" s="83" t="n"/>
      <c r="L948" s="21" t="n"/>
      <c r="M948" s="85" t="n"/>
      <c r="T948" s="84" t="n"/>
    </row>
    <row r="949" ht="15.75" customHeight="1" s="198">
      <c r="I949" s="83" t="n"/>
      <c r="L949" s="21" t="n"/>
      <c r="M949" s="85" t="n"/>
      <c r="T949" s="84" t="n"/>
    </row>
    <row r="950" ht="15.75" customHeight="1" s="198">
      <c r="I950" s="83" t="n"/>
      <c r="L950" s="21" t="n"/>
      <c r="M950" s="85" t="n"/>
      <c r="T950" s="84" t="n"/>
    </row>
    <row r="951" ht="15.75" customHeight="1" s="198">
      <c r="I951" s="83" t="n"/>
      <c r="L951" s="21" t="n"/>
      <c r="M951" s="85" t="n"/>
      <c r="T951" s="84" t="n"/>
    </row>
    <row r="952" ht="15.75" customHeight="1" s="198">
      <c r="I952" s="83" t="n"/>
      <c r="L952" s="21" t="n"/>
      <c r="M952" s="85" t="n"/>
      <c r="T952" s="84" t="n"/>
    </row>
    <row r="953" ht="15.75" customHeight="1" s="198">
      <c r="I953" s="83" t="n"/>
      <c r="L953" s="21" t="n"/>
      <c r="M953" s="85" t="n"/>
      <c r="T953" s="84" t="n"/>
    </row>
    <row r="954" ht="15.75" customHeight="1" s="198">
      <c r="I954" s="83" t="n"/>
      <c r="L954" s="21" t="n"/>
      <c r="M954" s="85" t="n"/>
      <c r="T954" s="84" t="n"/>
    </row>
    <row r="955" ht="15.75" customHeight="1" s="198">
      <c r="I955" s="83" t="n"/>
      <c r="L955" s="21" t="n"/>
      <c r="M955" s="85" t="n"/>
      <c r="T955" s="84" t="n"/>
    </row>
    <row r="956" ht="15.75" customHeight="1" s="198">
      <c r="I956" s="83" t="n"/>
      <c r="L956" s="21" t="n"/>
      <c r="M956" s="85" t="n"/>
      <c r="T956" s="84" t="n"/>
    </row>
    <row r="957" ht="15.75" customHeight="1" s="198">
      <c r="I957" s="83" t="n"/>
      <c r="L957" s="21" t="n"/>
      <c r="M957" s="85" t="n"/>
      <c r="T957" s="84" t="n"/>
    </row>
    <row r="958" ht="15.75" customHeight="1" s="198">
      <c r="I958" s="83" t="n"/>
      <c r="L958" s="21" t="n"/>
      <c r="M958" s="85" t="n"/>
      <c r="T958" s="84" t="n"/>
    </row>
    <row r="959" ht="15.75" customHeight="1" s="198">
      <c r="I959" s="83" t="n"/>
      <c r="L959" s="21" t="n"/>
      <c r="M959" s="85" t="n"/>
      <c r="T959" s="84" t="n"/>
    </row>
    <row r="960" ht="15.75" customHeight="1" s="198">
      <c r="I960" s="83" t="n"/>
      <c r="L960" s="21" t="n"/>
      <c r="M960" s="85" t="n"/>
      <c r="T960" s="84" t="n"/>
    </row>
    <row r="961" ht="15.75" customHeight="1" s="198">
      <c r="I961" s="83" t="n"/>
      <c r="L961" s="21" t="n"/>
      <c r="M961" s="85" t="n"/>
      <c r="T961" s="84" t="n"/>
    </row>
    <row r="962" ht="15.75" customHeight="1" s="198">
      <c r="I962" s="83" t="n"/>
      <c r="L962" s="21" t="n"/>
      <c r="M962" s="85" t="n"/>
      <c r="T962" s="84" t="n"/>
    </row>
    <row r="963" ht="15.75" customHeight="1" s="198">
      <c r="I963" s="83" t="n"/>
      <c r="L963" s="21" t="n"/>
      <c r="M963" s="85" t="n"/>
      <c r="T963" s="84" t="n"/>
    </row>
    <row r="964" ht="15.75" customHeight="1" s="198">
      <c r="I964" s="83" t="n"/>
      <c r="L964" s="21" t="n"/>
      <c r="M964" s="85" t="n"/>
      <c r="T964" s="84" t="n"/>
    </row>
    <row r="965" ht="15.75" customHeight="1" s="198">
      <c r="I965" s="83" t="n"/>
      <c r="L965" s="21" t="n"/>
      <c r="M965" s="85" t="n"/>
      <c r="T965" s="84" t="n"/>
    </row>
    <row r="966" ht="15.75" customHeight="1" s="198">
      <c r="I966" s="83" t="n"/>
      <c r="L966" s="21" t="n"/>
      <c r="M966" s="85" t="n"/>
      <c r="T966" s="84" t="n"/>
    </row>
    <row r="967" ht="15.75" customHeight="1" s="198">
      <c r="I967" s="83" t="n"/>
      <c r="L967" s="21" t="n"/>
      <c r="M967" s="85" t="n"/>
      <c r="T967" s="84" t="n"/>
    </row>
    <row r="968" ht="15.75" customHeight="1" s="198">
      <c r="I968" s="83" t="n"/>
      <c r="L968" s="21" t="n"/>
      <c r="M968" s="85" t="n"/>
      <c r="T968" s="84" t="n"/>
    </row>
    <row r="969" ht="15.75" customHeight="1" s="198">
      <c r="I969" s="83" t="n"/>
      <c r="L969" s="21" t="n"/>
      <c r="M969" s="85" t="n"/>
      <c r="T969" s="84" t="n"/>
    </row>
    <row r="970" ht="15.75" customHeight="1" s="198">
      <c r="I970" s="83" t="n"/>
      <c r="L970" s="21" t="n"/>
      <c r="M970" s="85" t="n"/>
      <c r="T970" s="84" t="n"/>
    </row>
    <row r="971" ht="15.75" customHeight="1" s="198">
      <c r="I971" s="83" t="n"/>
      <c r="L971" s="21" t="n"/>
      <c r="M971" s="85" t="n"/>
      <c r="T971" s="84" t="n"/>
    </row>
    <row r="972" ht="15.75" customHeight="1" s="198">
      <c r="I972" s="83" t="n"/>
      <c r="L972" s="21" t="n"/>
      <c r="M972" s="85" t="n"/>
      <c r="T972" s="84" t="n"/>
    </row>
    <row r="973" ht="15.75" customHeight="1" s="198">
      <c r="I973" s="83" t="n"/>
      <c r="L973" s="21" t="n"/>
      <c r="M973" s="85" t="n"/>
      <c r="T973" s="84" t="n"/>
    </row>
    <row r="974" ht="15.75" customHeight="1" s="198">
      <c r="I974" s="83" t="n"/>
      <c r="L974" s="21" t="n"/>
      <c r="M974" s="85" t="n"/>
      <c r="T974" s="84" t="n"/>
    </row>
    <row r="975" ht="15.75" customHeight="1" s="198">
      <c r="I975" s="83" t="n"/>
      <c r="L975" s="21" t="n"/>
      <c r="M975" s="85" t="n"/>
      <c r="T975" s="84" t="n"/>
    </row>
    <row r="976" ht="15.75" customHeight="1" s="198">
      <c r="I976" s="83" t="n"/>
      <c r="L976" s="21" t="n"/>
      <c r="M976" s="85" t="n"/>
      <c r="T976" s="84" t="n"/>
    </row>
    <row r="977" ht="15.75" customHeight="1" s="198">
      <c r="I977" s="83" t="n"/>
      <c r="L977" s="21" t="n"/>
      <c r="M977" s="85" t="n"/>
      <c r="T977" s="84" t="n"/>
    </row>
    <row r="978" ht="15.75" customHeight="1" s="198">
      <c r="I978" s="83" t="n"/>
      <c r="L978" s="21" t="n"/>
      <c r="M978" s="85" t="n"/>
      <c r="T978" s="84" t="n"/>
    </row>
    <row r="979" ht="15.75" customHeight="1" s="198">
      <c r="I979" s="83" t="n"/>
      <c r="L979" s="21" t="n"/>
      <c r="M979" s="85" t="n"/>
      <c r="T979" s="84" t="n"/>
    </row>
    <row r="980" ht="15.75" customHeight="1" s="198">
      <c r="I980" s="83" t="n"/>
      <c r="L980" s="21" t="n"/>
      <c r="M980" s="85" t="n"/>
      <c r="T980" s="84" t="n"/>
    </row>
    <row r="981" ht="15.75" customHeight="1" s="198">
      <c r="I981" s="83" t="n"/>
      <c r="L981" s="21" t="n"/>
      <c r="M981" s="85" t="n"/>
      <c r="T981" s="84" t="n"/>
    </row>
    <row r="982" ht="15.75" customHeight="1" s="198">
      <c r="I982" s="83" t="n"/>
      <c r="L982" s="21" t="n"/>
      <c r="M982" s="85" t="n"/>
      <c r="T982" s="84" t="n"/>
    </row>
    <row r="983" ht="15.75" customHeight="1" s="198">
      <c r="I983" s="83" t="n"/>
      <c r="L983" s="21" t="n"/>
      <c r="M983" s="85" t="n"/>
      <c r="T983" s="84" t="n"/>
    </row>
    <row r="984" ht="15.75" customHeight="1" s="198">
      <c r="I984" s="83" t="n"/>
      <c r="L984" s="21" t="n"/>
      <c r="M984" s="85" t="n"/>
      <c r="T984" s="84" t="n"/>
    </row>
    <row r="985" ht="15.75" customHeight="1" s="198">
      <c r="I985" s="83" t="n"/>
      <c r="L985" s="21" t="n"/>
      <c r="M985" s="85" t="n"/>
      <c r="T985" s="84" t="n"/>
    </row>
  </sheetData>
  <mergeCells count="38">
    <mergeCell ref="D20:E20"/>
    <mergeCell ref="B48:O49"/>
    <mergeCell ref="R44:S44"/>
    <mergeCell ref="D22:E22"/>
    <mergeCell ref="H11:J11"/>
    <mergeCell ref="D13:E13"/>
    <mergeCell ref="T44:U44"/>
    <mergeCell ref="C7:E7"/>
    <mergeCell ref="R43:S43"/>
    <mergeCell ref="T43:U43"/>
    <mergeCell ref="D10:E10"/>
    <mergeCell ref="D19:E19"/>
    <mergeCell ref="H7:J7"/>
    <mergeCell ref="D11:E11"/>
    <mergeCell ref="R45:S45"/>
    <mergeCell ref="D9:E9"/>
    <mergeCell ref="D15:E15"/>
    <mergeCell ref="B24:U24"/>
    <mergeCell ref="R47:U47"/>
    <mergeCell ref="B47:O47"/>
    <mergeCell ref="C4:J4"/>
    <mergeCell ref="H13:J13"/>
    <mergeCell ref="D17:E17"/>
    <mergeCell ref="R49:U49"/>
    <mergeCell ref="H8:J8"/>
    <mergeCell ref="D12:E12"/>
    <mergeCell ref="H10:J10"/>
    <mergeCell ref="D14:E14"/>
    <mergeCell ref="H9:J9"/>
    <mergeCell ref="C3:J3"/>
    <mergeCell ref="T45:U45"/>
    <mergeCell ref="C5:J5"/>
    <mergeCell ref="D21:E21"/>
    <mergeCell ref="R48:U48"/>
    <mergeCell ref="H12:J12"/>
    <mergeCell ref="D16:E16"/>
    <mergeCell ref="D18:E18"/>
    <mergeCell ref="D8:E8"/>
  </mergeCells>
  <dataValidations count="1">
    <dataValidation sqref="D14" showDropDown="0" showInputMessage="0" showErrorMessage="1" allowBlank="1" type="list">
      <formula1>"Plan 99,Código 8,No aplica"</formula1>
    </dataValidation>
  </dataValidations>
  <printOptions horizontalCentered="1"/>
  <pageMargins left="0.7000000000000001" right="0" top="0.7500000000000001" bottom="0.7500000000000001" header="0" footer="0"/>
  <pageSetup orientation="landscape" paperSize="1" fitToHeight="0" fitToWidth="1"/>
  <colBreaks count="1" manualBreakCount="1">
    <brk id="21" min="0" max="16383" man="1"/>
  </colBreaks>
  <drawing xmlns:r="http://schemas.openxmlformats.org/officeDocument/2006/relationships" r:id="rId1"/>
</worksheet>
</file>

<file path=xl/worksheets/sheet2.xml><?xml version="1.0" encoding="utf-8"?>
<worksheet xmlns="http://schemas.openxmlformats.org/spreadsheetml/2006/main">
  <sheetPr>
    <outlinePr summaryBelow="0" summaryRight="0"/>
    <pageSetUpPr/>
  </sheetPr>
  <dimension ref="A1:C8"/>
  <sheetViews>
    <sheetView showGridLines="0" workbookViewId="0">
      <selection activeCell="A1" sqref="A1"/>
    </sheetView>
  </sheetViews>
  <sheetFormatPr baseColWidth="10" defaultColWidth="14.3984375" defaultRowHeight="15" customHeight="1"/>
  <cols>
    <col width="24.19921875" customWidth="1" style="198" min="1" max="1"/>
    <col width="116" customWidth="1" style="198" min="2" max="2"/>
    <col width="29.19921875" customWidth="1" style="198" min="3" max="3"/>
  </cols>
  <sheetData>
    <row r="1" ht="25.5" customHeight="1" s="198">
      <c r="B1" s="253" t="inlineStr">
        <is>
          <t>GRUPO TELEVISA, S.A.B.</t>
        </is>
      </c>
      <c r="C1" s="249" t="n"/>
    </row>
    <row r="2" ht="25.5" customHeight="1" s="198">
      <c r="B2" s="254" t="inlineStr">
        <is>
          <t>AV. VASCO DE QUIROGA 2000 COL. SANTA FE C.P. 01210 ALVARO OBREGON, PAÍS: MÉXICO</t>
        </is>
      </c>
      <c r="C2" s="255" t="n"/>
    </row>
    <row r="3" ht="25.5" customHeight="1" s="198">
      <c r="B3" s="256" t="inlineStr">
        <is>
          <t>Orden de Inserción</t>
        </is>
      </c>
      <c r="C3" s="252" t="n"/>
    </row>
    <row r="4" ht="409.6" customHeight="1" s="198">
      <c r="A4" s="257" t="inlineStr">
        <is>
          <t>1. Por virtud de la presente Orden de Insersión (el ""Contrato"") y sujeto a los términos y condiciones del mismo, Grupo Televisa, S.A.B. (""TIM"") prestará servicios publicitarios para llevar a cabo la(s) Campaña(s) Publicitaria(s) señalada(s) en la
Sección 2 de la OI, consistente(s) en aquellos banners, spots y/ patrocinio(s) que haya solicitado el anunciante (el ""Cliente""), los cuales contendrán la(s) Marca(s) y/o Producto(s) indicados en la Sección 17 de la OI, a través de los Medios  de TIM,
durante el periodo señalado en las Secciones 3 y 4 de la OI (la ""Campaña Publicitaria""), dentro del sitio web o ""Canal"" indicado en la Sección 21 de la OI (el ""Sitio""). Para efectos del presente Contrato, se entenderá por ""Medio(s)"", las páginas
web que conforman el Sitio, así como, en su caso, el micrositio web creado por TIM (solo en caso de haber sido solicitado por el Cliente) indicado en la Sección 21 de la OI y los cuales contendrán la(s) Marca(s) y/o Producto(s) indicados en la 
Sección 17 de la OI, a fin de llevar a cabo la(s) Campaña(s) Publicitaria(s) señalada(s) en la Sección 2 de la OI durante el periodo señalado en las Secciones 3 y 4 de la OI.
2. El Cliente se obliga a pagar a TIM, por concepto de la(s) Campaña(s) Publicitaria(s) señalada(s) en la Sección 2 de la OI, la cantidad señalada en la Sección 12 de la OI más el impuesto al valor agregado correspondiente, de conformidad con las 
Secciones 13 y 14 de la OI (la ""Contraprestación""). Las partes ratifican que las tarifas que se indican en la OI no incluyen pagos a terceros, contratación de servicios especiales, unidad de control remoto, material de grabación, arrendamiento de estudios,
pago de servicios de actores,    entre otros, mismos que serán por cuenta y a cargo del Cliente.
3. La Contraprestación será cubierta por el Cliente a TIM en su totalidad conforme a las fechas de pago establecidas en la Sección 30 de la OI o dentro de los 30 (treinta) días siguientes a la recepción de la factura de TIM, lo que ocurra primero, a la cuenta
que TIM le indique. El Cliente acepta que una vez recibida la factura correspondiente, tendrá un plazo máximo de 5 (cinco) días hábiles para realizar cualquier reclamación respecto de los servicios publicitarios facturados o del contenido de dicha(s) factura(s)
a efecto de solicitar refacturación, y de no recibir observaciones dentro de dicho plazo, se entenderá que ha(n) sido aceptada(s) por lo que TIM ya no realizaría ningún cambio en dichas facturas. Cualquier aclaración deberá realizarse por escrito al área de conciliaciones de TIM.
4. En todos los casos el Cliente proporcionará a TIM los anuncios de la Campaña que vayan a transmitirse durante cada Campaña Publicitaria, por lo que será el único responsable del contenido de éstos, y en consecuencia éste se obliga a indemnizar y
sacar a TIM, o a quien ésta designe, en paz y a salvo de cualquier reclamación relacionada con la Campaña y se compromete a cubrir todas las cantidades que resulten por dicha reclamación. Asimismo, TIM se reserva el derecho de abstenerse de
transmitir cualquier banner ó spot de   la Campaña en cualquier momento, en caso de que, a su solo criterio, cualquiera de los anuncios  de la Campaña atenten contra la legislación, la moral o las buenas costumbres.
5. TIM realizará la prestación de los servicios publicitarios a través del Sitio de conformidad con las especificaciones de la OI. El Cliente hará uso de los servicios publicitarios a que se refiere el presente Contrato, conforme a los términos pactados en la OI.
Los servicios publicitarios contratados por el Cliente no incluyen el patrocinio o copatrocinio de programas en forma alguna, y se referirán exclusivamente a la Campaña. En caso de que el Cliente deseare cancelar una Campaña, deberá informarlo por
escrito a TIM con al menos cuarenta y ocho horas de anticipación, presentando la debida justificación. Las partes acuerdan que la cancelación de la Campaña quedara a discreción final de TIM.
6. El Cliente no podrá ceder o transferir los derechos y obligaciones que se deriven del presente Contrato a ningún tercero. Por su parte, TIM podrá ceder los derechos y obligaciones que se deriven del presente Contrato a cualquiera de las empresas filiales,
 subsidiarias  o controladoras de Grupo Televisa, S.A.B., incluyendo esta última, sin necesidad de dar aviso al Cliente para ello. El Cliente reconoce y acepta que las estipulaciones pactadas en este Contrato, son de carácter irrevocable, por lo que
no procederá reembolso alguno y subsistirá la obligación del Cliente de pagar a TIM la totalidad de la cantidad señalada en la Sección 12 de la OI.
7. Cada una de las partes será la única responsable de las obligaciones derivadas de las disposiciones legales y demás ordenamientos en materia de trabajo y de seguridad social, en su carácter de empresario y patrón del personal que cada una de
ellas ocupa con  motivo del cumplimiento del objeto del presente Contrato. Las partes manifiestan que cuentan con los elementos propios y suficientes para cumplir con las obligaciones que se deriven de la relación con sus trabajadores. 
Por lo anterior las partes se obligan mutuamente  a mantenerse en paz y a salvo de cualquier reclamación que pudiera surgir por conflicto o motivo de carácter laboral o de cualquier índole, de sus respectivos empleados.
8. Los anuncios aportados por el Cliente para ser transmitidos por TIM en la Campaña objeto del presente Contrato, son propiedad del Cliente, por lo que el Cliente se obliga frente a TIM ante cualquier reclamación que presente algún tercero que reclame
un mejor derecho sobre la Marca y/o Producto del Cliente y cualquier material que forme parte de la Campaña. TIM, a su elección, podrá coadyuvar con el Cliente frente a cualquier reclamación que presente algún tercero.
9. Las partes acuerdan que los términos y condiciones del presente Contrato son confidenciales, por lo que no podrán revelar dicha información sin el previo consentimiento por escrito que, en su caso, otorgue la otra parte.
10. El incumplimiento de las obligaciones que asumen las partes por virtud de este Contrato por causa imputable a éstas, faculta a la otra parte para darlo por rescindido sin ninguna responsabilidad a su cargo.  Dicha rescisión operará de pleno derecho 
o sin necesidad de declaración judicial, bastando para ello que la parte afectada comunique por escrito a la parte en incumplimiento, tal determinación.
11. Ambas partes se obligan a dar acceso a la otra parte a su sistema de reporteo o, en caso contrario, enviar reportes relativos a cada Campaña, con la finalidad de que ambas puedan conciliar las cifras correspondientes; en caso contrario, las partes
aceptan que una vez finalizada cada Campaña TIM no hará compensación alguna superior al 10% de las impresiones contratadas.
12. El Cliente se obliga a proporcionar a TIM: (i) la dirección de la página web en donde tenga su sistema de reporteo, señalada en la Sección 31 de la OI; el nombre de usuario para acceso a su sistema de reporteo, señalado en la Sección 32 de la OI;
y (iii) la contraseña para su sistema de reporteo, señalada en la Sección 33 de la OI.
13. Las medidas (pxls), tamaño de archivo (k) y duración ("")  de los anuncios deberán ser de acuerdo a las especificaciones técnicas establecidas por TIM,  de lo contrario el Cliente deberá pagar un cargo extra por dichas medidas.</t>
        </is>
      </c>
      <c r="B4" s="222" t="n"/>
      <c r="C4" s="223" t="n"/>
    </row>
    <row r="5" ht="15.75" customHeight="1" s="198"/>
    <row r="6" ht="15.75" customHeight="1" s="198">
      <c r="A6" s="258" t="n"/>
      <c r="B6" s="249" t="n"/>
      <c r="C6" s="86" t="inlineStr">
        <is>
          <t>Firma del Cliente</t>
        </is>
      </c>
    </row>
    <row r="7" ht="57" customHeight="1" s="198">
      <c r="A7" s="259" t="n"/>
      <c r="B7" s="255" t="n"/>
      <c r="C7" s="87" t="n"/>
    </row>
    <row r="8" ht="15.75" customHeight="1" s="198">
      <c r="A8" s="250" t="n"/>
      <c r="B8" s="252" t="n"/>
      <c r="C8" s="88" t="n"/>
    </row>
    <row r="9" ht="15.75" customHeight="1" s="198"/>
    <row r="10" ht="15.75" customHeight="1" s="198"/>
    <row r="11" ht="15.75" customHeight="1" s="198"/>
    <row r="12" ht="15.75" customHeight="1" s="198"/>
    <row r="13" ht="15.75" customHeight="1" s="198"/>
    <row r="14" ht="15.75" customHeight="1" s="198"/>
    <row r="15" ht="15.75" customHeight="1" s="198"/>
    <row r="16" ht="15.75" customHeight="1" s="198"/>
    <row r="17" ht="15.75" customHeight="1" s="198"/>
    <row r="18" ht="15.75" customHeight="1" s="198"/>
    <row r="19" ht="15.75" customHeight="1" s="198"/>
    <row r="20" ht="15.75" customHeight="1" s="198"/>
    <row r="21" ht="15.75" customHeight="1" s="198"/>
    <row r="22" ht="15.75" customHeight="1" s="198"/>
    <row r="23" ht="15.75" customHeight="1" s="198"/>
    <row r="24" ht="15.75" customHeight="1" s="198"/>
    <row r="25" ht="15.75" customHeight="1" s="198"/>
    <row r="26" ht="15.75" customHeight="1" s="198"/>
    <row r="27" ht="15.75" customHeight="1" s="198"/>
    <row r="28" ht="15.75" customHeight="1" s="198"/>
    <row r="29" ht="15.75" customHeight="1" s="198"/>
    <row r="30" ht="15.75" customHeight="1" s="198"/>
    <row r="31" ht="15.75" customHeight="1" s="198"/>
    <row r="32" ht="15.75" customHeight="1" s="198"/>
    <row r="33" ht="15.75" customHeight="1" s="198"/>
    <row r="34" ht="15.75" customHeight="1" s="198"/>
    <row r="35" ht="15.75" customHeight="1" s="198"/>
    <row r="36" ht="15.75" customHeight="1" s="198"/>
    <row r="37" ht="15.75" customHeight="1" s="198"/>
    <row r="38" ht="15.75" customHeight="1" s="198"/>
    <row r="39" ht="15.75" customHeight="1" s="198"/>
    <row r="40" ht="15.75" customHeight="1" s="198"/>
    <row r="41" ht="15.75" customHeight="1" s="198"/>
    <row r="42" ht="15.75" customHeight="1" s="198"/>
    <row r="43" ht="15.75" customHeight="1" s="198"/>
    <row r="44" ht="15.75" customHeight="1" s="198"/>
    <row r="45" ht="15.75" customHeight="1" s="198"/>
    <row r="46" ht="15.75" customHeight="1" s="198"/>
    <row r="47" ht="15.75" customHeight="1" s="198"/>
    <row r="48" ht="15.75" customHeight="1" s="198"/>
    <row r="49" ht="15.75" customHeight="1" s="198"/>
    <row r="50" ht="15.75" customHeight="1" s="198"/>
    <row r="51" ht="15.75" customHeight="1" s="198"/>
    <row r="52" ht="15.75" customHeight="1" s="198"/>
    <row r="53" ht="15.75" customHeight="1" s="198"/>
    <row r="54" ht="15.75" customHeight="1" s="198"/>
    <row r="55" ht="15.75" customHeight="1" s="198"/>
    <row r="56" ht="15.75" customHeight="1" s="198"/>
    <row r="57" ht="15.75" customHeight="1" s="198"/>
    <row r="58" ht="15.75" customHeight="1" s="198"/>
    <row r="59" ht="15.75" customHeight="1" s="198"/>
    <row r="60" ht="15.75" customHeight="1" s="198"/>
    <row r="61" ht="15.75" customHeight="1" s="198"/>
    <row r="62" ht="15.75" customHeight="1" s="198"/>
    <row r="63" ht="15.75" customHeight="1" s="198"/>
    <row r="64" ht="15.75" customHeight="1" s="198"/>
    <row r="65" ht="15.75" customHeight="1" s="198"/>
    <row r="66" ht="15.75" customHeight="1" s="198"/>
    <row r="67" ht="15.75" customHeight="1" s="198"/>
    <row r="68" ht="15.75" customHeight="1" s="198"/>
    <row r="69" ht="15.75" customHeight="1" s="198"/>
    <row r="70" ht="15.75" customHeight="1" s="198"/>
    <row r="71" ht="15.75" customHeight="1" s="198"/>
    <row r="72" ht="15.75" customHeight="1" s="198"/>
    <row r="73" ht="15.75" customHeight="1" s="198"/>
    <row r="74" ht="15.75" customHeight="1" s="198"/>
    <row r="75" ht="15.75" customHeight="1" s="198"/>
    <row r="76" ht="15.75" customHeight="1" s="198"/>
    <row r="77" ht="15.75" customHeight="1" s="198"/>
    <row r="78" ht="15.75" customHeight="1" s="198"/>
    <row r="79" ht="15.75" customHeight="1" s="198"/>
    <row r="80" ht="15.75" customHeight="1" s="198"/>
    <row r="81" ht="15.75" customHeight="1" s="198"/>
    <row r="82" ht="15.75" customHeight="1" s="198"/>
    <row r="83" ht="15.75" customHeight="1" s="198"/>
    <row r="84" ht="15.75" customHeight="1" s="198"/>
    <row r="85" ht="15.75" customHeight="1" s="198"/>
    <row r="86" ht="15.75" customHeight="1" s="198"/>
    <row r="87" ht="15.75" customHeight="1" s="198"/>
    <row r="88" ht="15.75" customHeight="1" s="198"/>
    <row r="89" ht="15.75" customHeight="1" s="198"/>
    <row r="90" ht="15.75" customHeight="1" s="198"/>
    <row r="91" ht="15.75" customHeight="1" s="198"/>
    <row r="92" ht="15.75" customHeight="1" s="198"/>
    <row r="93" ht="15.75" customHeight="1" s="198"/>
    <row r="94" ht="15.75" customHeight="1" s="198"/>
    <row r="95" ht="15.75" customHeight="1" s="198"/>
    <row r="96" ht="15.75" customHeight="1" s="198"/>
    <row r="97" ht="15.75" customHeight="1" s="198"/>
    <row r="98" ht="15.75" customHeight="1" s="198"/>
    <row r="99" ht="15.75" customHeight="1" s="198"/>
    <row r="100" ht="15.75" customHeight="1" s="198"/>
    <row r="101" ht="15.75" customHeight="1" s="198"/>
    <row r="102" ht="15.75" customHeight="1" s="198"/>
    <row r="103" ht="15.75" customHeight="1" s="198"/>
    <row r="104" ht="15.75" customHeight="1" s="198"/>
    <row r="105" ht="15.75" customHeight="1" s="198"/>
    <row r="106" ht="15.75" customHeight="1" s="198"/>
    <row r="107" ht="15.75" customHeight="1" s="198"/>
    <row r="108" ht="15.75" customHeight="1" s="198"/>
    <row r="109" ht="15.75" customHeight="1" s="198"/>
    <row r="110" ht="15.75" customHeight="1" s="198"/>
    <row r="111" ht="15.75" customHeight="1" s="198"/>
    <row r="112" ht="15.75" customHeight="1" s="198"/>
    <row r="113" ht="15.75" customHeight="1" s="198"/>
    <row r="114" ht="15.75" customHeight="1" s="198"/>
    <row r="115" ht="15.75" customHeight="1" s="198"/>
    <row r="116" ht="15.75" customHeight="1" s="198"/>
    <row r="117" ht="15.75" customHeight="1" s="198"/>
    <row r="118" ht="15.75" customHeight="1" s="198"/>
    <row r="119" ht="15.75" customHeight="1" s="198"/>
    <row r="120" ht="15.75" customHeight="1" s="198"/>
    <row r="121" ht="15.75" customHeight="1" s="198"/>
    <row r="122" ht="15.75" customHeight="1" s="198"/>
    <row r="123" ht="15.75" customHeight="1" s="198"/>
    <row r="124" ht="15.75" customHeight="1" s="198"/>
    <row r="125" ht="15.75" customHeight="1" s="198"/>
    <row r="126" ht="15.75" customHeight="1" s="198"/>
    <row r="127" ht="15.75" customHeight="1" s="198"/>
    <row r="128" ht="15.75" customHeight="1" s="198"/>
    <row r="129" ht="15.75" customHeight="1" s="198"/>
    <row r="130" ht="15.75" customHeight="1" s="198"/>
    <row r="131" ht="15.75" customHeight="1" s="198"/>
    <row r="132" ht="15.75" customHeight="1" s="198"/>
    <row r="133" ht="15.75" customHeight="1" s="198"/>
    <row r="134" ht="15.75" customHeight="1" s="198"/>
    <row r="135" ht="15.75" customHeight="1" s="198"/>
    <row r="136" ht="15.75" customHeight="1" s="198"/>
    <row r="137" ht="15.75" customHeight="1" s="198"/>
    <row r="138" ht="15.75" customHeight="1" s="198"/>
    <row r="139" ht="15.75" customHeight="1" s="198"/>
    <row r="140" ht="15.75" customHeight="1" s="198"/>
    <row r="141" ht="15.75" customHeight="1" s="198"/>
    <row r="142" ht="15.75" customHeight="1" s="198"/>
    <row r="143" ht="15.75" customHeight="1" s="198"/>
    <row r="144" ht="15.75" customHeight="1" s="198"/>
    <row r="145" ht="15.75" customHeight="1" s="198"/>
    <row r="146" ht="15.75" customHeight="1" s="198"/>
    <row r="147" ht="15.75" customHeight="1" s="198"/>
    <row r="148" ht="15.75" customHeight="1" s="198"/>
    <row r="149" ht="15.75" customHeight="1" s="198"/>
    <row r="150" ht="15.75" customHeight="1" s="198"/>
    <row r="151" ht="15.75" customHeight="1" s="198"/>
    <row r="152" ht="15.75" customHeight="1" s="198"/>
    <row r="153" ht="15.75" customHeight="1" s="198"/>
    <row r="154" ht="15.75" customHeight="1" s="198"/>
    <row r="155" ht="15.75" customHeight="1" s="198"/>
    <row r="156" ht="15.75" customHeight="1" s="198"/>
    <row r="157" ht="15.75" customHeight="1" s="198"/>
    <row r="158" ht="15.75" customHeight="1" s="198"/>
    <row r="159" ht="15.75" customHeight="1" s="198"/>
    <row r="160" ht="15.75" customHeight="1" s="198"/>
    <row r="161" ht="15.75" customHeight="1" s="198"/>
    <row r="162" ht="15.75" customHeight="1" s="198"/>
    <row r="163" ht="15.75" customHeight="1" s="198"/>
    <row r="164" ht="15.75" customHeight="1" s="198"/>
    <row r="165" ht="15.75" customHeight="1" s="198"/>
    <row r="166" ht="15.75" customHeight="1" s="198"/>
    <row r="167" ht="15.75" customHeight="1" s="198"/>
    <row r="168" ht="15.75" customHeight="1" s="198"/>
    <row r="169" ht="15.75" customHeight="1" s="198"/>
    <row r="170" ht="15.75" customHeight="1" s="198"/>
    <row r="171" ht="15.75" customHeight="1" s="198"/>
    <row r="172" ht="15.75" customHeight="1" s="198"/>
    <row r="173" ht="15.75" customHeight="1" s="198"/>
    <row r="174" ht="15.75" customHeight="1" s="198"/>
    <row r="175" ht="15.75" customHeight="1" s="198"/>
    <row r="176" ht="15.75" customHeight="1" s="198"/>
    <row r="177" ht="15.75" customHeight="1" s="198"/>
    <row r="178" ht="15.75" customHeight="1" s="198"/>
    <row r="179" ht="15.75" customHeight="1" s="198"/>
    <row r="180" ht="15.75" customHeight="1" s="198"/>
    <row r="181" ht="15.75" customHeight="1" s="198"/>
    <row r="182" ht="15.75" customHeight="1" s="198"/>
    <row r="183" ht="15.75" customHeight="1" s="198"/>
    <row r="184" ht="15.75" customHeight="1" s="198"/>
    <row r="185" ht="15.75" customHeight="1" s="198"/>
    <row r="186" ht="15.75" customHeight="1" s="198"/>
    <row r="187" ht="15.75" customHeight="1" s="198"/>
    <row r="188" ht="15.75" customHeight="1" s="198"/>
    <row r="189" ht="15.75" customHeight="1" s="198"/>
    <row r="190" ht="15.75" customHeight="1" s="198"/>
    <row r="191" ht="15.75" customHeight="1" s="198"/>
    <row r="192" ht="15.75" customHeight="1" s="198"/>
    <row r="193" ht="15.75" customHeight="1" s="198"/>
    <row r="194" ht="15.75" customHeight="1" s="198"/>
    <row r="195" ht="15.75" customHeight="1" s="198"/>
    <row r="196" ht="15.75" customHeight="1" s="198"/>
    <row r="197" ht="15.75" customHeight="1" s="198"/>
    <row r="198" ht="15.75" customHeight="1" s="198"/>
    <row r="199" ht="15.75" customHeight="1" s="198"/>
    <row r="200" ht="15.75" customHeight="1" s="198"/>
    <row r="201" ht="15.75" customHeight="1" s="198"/>
    <row r="202" ht="15.75" customHeight="1" s="198"/>
    <row r="203" ht="15.75" customHeight="1" s="198"/>
    <row r="204" ht="15.75" customHeight="1" s="198"/>
    <row r="205" ht="15.75" customHeight="1" s="198"/>
    <row r="206" ht="15.75" customHeight="1" s="198"/>
    <row r="207" ht="15.75" customHeight="1" s="198"/>
    <row r="208" ht="15.75" customHeight="1" s="198"/>
    <row r="209" ht="15.75" customHeight="1" s="198"/>
    <row r="210" ht="15.75" customHeight="1" s="198"/>
    <row r="211" ht="15.75" customHeight="1" s="198"/>
    <row r="212" ht="15.75" customHeight="1" s="198"/>
    <row r="213" ht="15.75" customHeight="1" s="198"/>
    <row r="214" ht="15.75" customHeight="1" s="198"/>
    <row r="215" ht="15.75" customHeight="1" s="198"/>
    <row r="216" ht="15.75" customHeight="1" s="198"/>
    <row r="217" ht="15.75" customHeight="1" s="198"/>
    <row r="218" ht="15.75" customHeight="1" s="198"/>
    <row r="219" ht="15.75" customHeight="1" s="198"/>
    <row r="220" ht="15.75" customHeight="1" s="198"/>
    <row r="221" ht="15.75" customHeight="1" s="198"/>
    <row r="222" ht="15.75" customHeight="1" s="198"/>
    <row r="223" ht="15.75" customHeight="1" s="198"/>
    <row r="224" ht="15.75" customHeight="1" s="198"/>
    <row r="225" ht="15.75" customHeight="1" s="198"/>
    <row r="226" ht="15.75" customHeight="1" s="198"/>
    <row r="227" ht="15.75" customHeight="1" s="198"/>
    <row r="228" ht="15.75" customHeight="1" s="198"/>
    <row r="229" ht="15.75" customHeight="1" s="198"/>
    <row r="230" ht="15.75" customHeight="1" s="198"/>
    <row r="231" ht="15.75" customHeight="1" s="198"/>
    <row r="232" ht="15.75" customHeight="1" s="198"/>
    <row r="233" ht="15.75" customHeight="1" s="198"/>
    <row r="234" ht="15.75" customHeight="1" s="198"/>
    <row r="235" ht="15.75" customHeight="1" s="198"/>
    <row r="236" ht="15.75" customHeight="1" s="198"/>
    <row r="237" ht="15.75" customHeight="1" s="198"/>
    <row r="238" ht="15.75" customHeight="1" s="198"/>
    <row r="239" ht="15.75" customHeight="1" s="198"/>
    <row r="240" ht="15.75" customHeight="1" s="198"/>
    <row r="241" ht="15.75" customHeight="1" s="198"/>
    <row r="242" ht="15.75" customHeight="1" s="198"/>
    <row r="243" ht="15.75" customHeight="1" s="198"/>
    <row r="244" ht="15.75" customHeight="1" s="198"/>
    <row r="245" ht="15.75" customHeight="1" s="198"/>
    <row r="246" ht="15.75" customHeight="1" s="198"/>
    <row r="247" ht="15.75" customHeight="1" s="198"/>
    <row r="248" ht="15.75" customHeight="1" s="198"/>
    <row r="249" ht="15.75" customHeight="1" s="198"/>
    <row r="250" ht="15.75" customHeight="1" s="198"/>
    <row r="251" ht="15.75" customHeight="1" s="198"/>
    <row r="252" ht="15.75" customHeight="1" s="198"/>
    <row r="253" ht="15.75" customHeight="1" s="198"/>
    <row r="254" ht="15.75" customHeight="1" s="198"/>
    <row r="255" ht="15.75" customHeight="1" s="198"/>
    <row r="256" ht="15.75" customHeight="1" s="198"/>
    <row r="257" ht="15.75" customHeight="1" s="198"/>
    <row r="258" ht="15.75" customHeight="1" s="198"/>
    <row r="259" ht="15.75" customHeight="1" s="198"/>
    <row r="260" ht="15.75" customHeight="1" s="198"/>
    <row r="261" ht="15.75" customHeight="1" s="198"/>
    <row r="262" ht="15.75" customHeight="1" s="198"/>
    <row r="263" ht="15.75" customHeight="1" s="198"/>
    <row r="264" ht="15.75" customHeight="1" s="198"/>
    <row r="265" ht="15.75" customHeight="1" s="198"/>
    <row r="266" ht="15.75" customHeight="1" s="198"/>
    <row r="267" ht="15.75" customHeight="1" s="198"/>
    <row r="268" ht="15.75" customHeight="1" s="198"/>
    <row r="269" ht="15.75" customHeight="1" s="198"/>
    <row r="270" ht="15.75" customHeight="1" s="198"/>
    <row r="271" ht="15.75" customHeight="1" s="198"/>
    <row r="272" ht="15.75" customHeight="1" s="198"/>
    <row r="273" ht="15.75" customHeight="1" s="198"/>
    <row r="274" ht="15.75" customHeight="1" s="198"/>
    <row r="275" ht="15.75" customHeight="1" s="198"/>
    <row r="276" ht="15.75" customHeight="1" s="198"/>
    <row r="277" ht="15.75" customHeight="1" s="198"/>
    <row r="278" ht="15.75" customHeight="1" s="198"/>
    <row r="279" ht="15.75" customHeight="1" s="198"/>
    <row r="280" ht="15.75" customHeight="1" s="198"/>
    <row r="281" ht="15.75" customHeight="1" s="198"/>
    <row r="282" ht="15.75" customHeight="1" s="198"/>
    <row r="283" ht="15.75" customHeight="1" s="198"/>
    <row r="284" ht="15.75" customHeight="1" s="198"/>
    <row r="285" ht="15.75" customHeight="1" s="198"/>
    <row r="286" ht="15.75" customHeight="1" s="198"/>
    <row r="287" ht="15.75" customHeight="1" s="198"/>
    <row r="288" ht="15.75" customHeight="1" s="198"/>
    <row r="289" ht="15.75" customHeight="1" s="198"/>
    <row r="290" ht="15.75" customHeight="1" s="198"/>
    <row r="291" ht="15.75" customHeight="1" s="198"/>
    <row r="292" ht="15.75" customHeight="1" s="198"/>
    <row r="293" ht="15.75" customHeight="1" s="198"/>
    <row r="294" ht="15.75" customHeight="1" s="198"/>
    <row r="295" ht="15.75" customHeight="1" s="198"/>
    <row r="296" ht="15.75" customHeight="1" s="198"/>
    <row r="297" ht="15.75" customHeight="1" s="198"/>
    <row r="298" ht="15.75" customHeight="1" s="198"/>
    <row r="299" ht="15.75" customHeight="1" s="198"/>
    <row r="300" ht="15.75" customHeight="1" s="198"/>
    <row r="301" ht="15.75" customHeight="1" s="198"/>
    <row r="302" ht="15.75" customHeight="1" s="198"/>
    <row r="303" ht="15.75" customHeight="1" s="198"/>
    <row r="304" ht="15.75" customHeight="1" s="198"/>
    <row r="305" ht="15.75" customHeight="1" s="198"/>
    <row r="306" ht="15.75" customHeight="1" s="198"/>
    <row r="307" ht="15.75" customHeight="1" s="198"/>
    <row r="308" ht="15.75" customHeight="1" s="198"/>
    <row r="309" ht="15.75" customHeight="1" s="198"/>
    <row r="310" ht="15.75" customHeight="1" s="198"/>
    <row r="311" ht="15.75" customHeight="1" s="198"/>
    <row r="312" ht="15.75" customHeight="1" s="198"/>
    <row r="313" ht="15.75" customHeight="1" s="198"/>
    <row r="314" ht="15.75" customHeight="1" s="198"/>
    <row r="315" ht="15.75" customHeight="1" s="198"/>
    <row r="316" ht="15.75" customHeight="1" s="198"/>
    <row r="317" ht="15.75" customHeight="1" s="198"/>
    <row r="318" ht="15.75" customHeight="1" s="198"/>
    <row r="319" ht="15.75" customHeight="1" s="198"/>
    <row r="320" ht="15.75" customHeight="1" s="198"/>
    <row r="321" ht="15.75" customHeight="1" s="198"/>
    <row r="322" ht="15.75" customHeight="1" s="198"/>
    <row r="323" ht="15.75" customHeight="1" s="198"/>
    <row r="324" ht="15.75" customHeight="1" s="198"/>
    <row r="325" ht="15.75" customHeight="1" s="198"/>
    <row r="326" ht="15.75" customHeight="1" s="198"/>
    <row r="327" ht="15.75" customHeight="1" s="198"/>
    <row r="328" ht="15.75" customHeight="1" s="198"/>
    <row r="329" ht="15.75" customHeight="1" s="198"/>
    <row r="330" ht="15.75" customHeight="1" s="198"/>
    <row r="331" ht="15.75" customHeight="1" s="198"/>
    <row r="332" ht="15.75" customHeight="1" s="198"/>
    <row r="333" ht="15.75" customHeight="1" s="198"/>
    <row r="334" ht="15.75" customHeight="1" s="198"/>
    <row r="335" ht="15.75" customHeight="1" s="198"/>
    <row r="336" ht="15.75" customHeight="1" s="198"/>
    <row r="337" ht="15.75" customHeight="1" s="198"/>
    <row r="338" ht="15.75" customHeight="1" s="198"/>
    <row r="339" ht="15.75" customHeight="1" s="198"/>
    <row r="340" ht="15.75" customHeight="1" s="198"/>
    <row r="341" ht="15.75" customHeight="1" s="198"/>
    <row r="342" ht="15.75" customHeight="1" s="198"/>
    <row r="343" ht="15.75" customHeight="1" s="198"/>
    <row r="344" ht="15.75" customHeight="1" s="198"/>
    <row r="345" ht="15.75" customHeight="1" s="198"/>
    <row r="346" ht="15.75" customHeight="1" s="198"/>
    <row r="347" ht="15.75" customHeight="1" s="198"/>
    <row r="348" ht="15.75" customHeight="1" s="198"/>
    <row r="349" ht="15.75" customHeight="1" s="198"/>
    <row r="350" ht="15.75" customHeight="1" s="198"/>
    <row r="351" ht="15.75" customHeight="1" s="198"/>
    <row r="352" ht="15.75" customHeight="1" s="198"/>
    <row r="353" ht="15.75" customHeight="1" s="198"/>
    <row r="354" ht="15.75" customHeight="1" s="198"/>
    <row r="355" ht="15.75" customHeight="1" s="198"/>
    <row r="356" ht="15.75" customHeight="1" s="198"/>
    <row r="357" ht="15.75" customHeight="1" s="198"/>
    <row r="358" ht="15.75" customHeight="1" s="198"/>
    <row r="359" ht="15.75" customHeight="1" s="198"/>
    <row r="360" ht="15.75" customHeight="1" s="198"/>
    <row r="361" ht="15.75" customHeight="1" s="198"/>
    <row r="362" ht="15.75" customHeight="1" s="198"/>
    <row r="363" ht="15.75" customHeight="1" s="198"/>
    <row r="364" ht="15.75" customHeight="1" s="198"/>
    <row r="365" ht="15.75" customHeight="1" s="198"/>
    <row r="366" ht="15.75" customHeight="1" s="198"/>
    <row r="367" ht="15.75" customHeight="1" s="198"/>
    <row r="368" ht="15.75" customHeight="1" s="198"/>
    <row r="369" ht="15.75" customHeight="1" s="198"/>
    <row r="370" ht="15.75" customHeight="1" s="198"/>
    <row r="371" ht="15.75" customHeight="1" s="198"/>
    <row r="372" ht="15.75" customHeight="1" s="198"/>
    <row r="373" ht="15.75" customHeight="1" s="198"/>
    <row r="374" ht="15.75" customHeight="1" s="198"/>
    <row r="375" ht="15.75" customHeight="1" s="198"/>
    <row r="376" ht="15.75" customHeight="1" s="198"/>
    <row r="377" ht="15.75" customHeight="1" s="198"/>
    <row r="378" ht="15.75" customHeight="1" s="198"/>
    <row r="379" ht="15.75" customHeight="1" s="198"/>
    <row r="380" ht="15.75" customHeight="1" s="198"/>
    <row r="381" ht="15.75" customHeight="1" s="198"/>
    <row r="382" ht="15.75" customHeight="1" s="198"/>
    <row r="383" ht="15.75" customHeight="1" s="198"/>
    <row r="384" ht="15.75" customHeight="1" s="198"/>
    <row r="385" ht="15.75" customHeight="1" s="198"/>
    <row r="386" ht="15.75" customHeight="1" s="198"/>
    <row r="387" ht="15.75" customHeight="1" s="198"/>
    <row r="388" ht="15.75" customHeight="1" s="198"/>
    <row r="389" ht="15.75" customHeight="1" s="198"/>
    <row r="390" ht="15.75" customHeight="1" s="198"/>
    <row r="391" ht="15.75" customHeight="1" s="198"/>
    <row r="392" ht="15.75" customHeight="1" s="198"/>
    <row r="393" ht="15.75" customHeight="1" s="198"/>
    <row r="394" ht="15.75" customHeight="1" s="198"/>
    <row r="395" ht="15.75" customHeight="1" s="198"/>
    <row r="396" ht="15.75" customHeight="1" s="198"/>
    <row r="397" ht="15.75" customHeight="1" s="198"/>
    <row r="398" ht="15.75" customHeight="1" s="198"/>
    <row r="399" ht="15.75" customHeight="1" s="198"/>
    <row r="400" ht="15.75" customHeight="1" s="198"/>
    <row r="401" ht="15.75" customHeight="1" s="198"/>
    <row r="402" ht="15.75" customHeight="1" s="198"/>
    <row r="403" ht="15.75" customHeight="1" s="198"/>
    <row r="404" ht="15.75" customHeight="1" s="198"/>
    <row r="405" ht="15.75" customHeight="1" s="198"/>
    <row r="406" ht="15.75" customHeight="1" s="198"/>
    <row r="407" ht="15.75" customHeight="1" s="198"/>
    <row r="408" ht="15.75" customHeight="1" s="198"/>
    <row r="409" ht="15.75" customHeight="1" s="198"/>
    <row r="410" ht="15.75" customHeight="1" s="198"/>
    <row r="411" ht="15.75" customHeight="1" s="198"/>
    <row r="412" ht="15.75" customHeight="1" s="198"/>
    <row r="413" ht="15.75" customHeight="1" s="198"/>
    <row r="414" ht="15.75" customHeight="1" s="198"/>
    <row r="415" ht="15.75" customHeight="1" s="198"/>
    <row r="416" ht="15.75" customHeight="1" s="198"/>
    <row r="417" ht="15.75" customHeight="1" s="198"/>
    <row r="418" ht="15.75" customHeight="1" s="198"/>
    <row r="419" ht="15.75" customHeight="1" s="198"/>
    <row r="420" ht="15.75" customHeight="1" s="198"/>
    <row r="421" ht="15.75" customHeight="1" s="198"/>
    <row r="422" ht="15.75" customHeight="1" s="198"/>
    <row r="423" ht="15.75" customHeight="1" s="198"/>
    <row r="424" ht="15.75" customHeight="1" s="198"/>
    <row r="425" ht="15.75" customHeight="1" s="198"/>
    <row r="426" ht="15.75" customHeight="1" s="198"/>
    <row r="427" ht="15.75" customHeight="1" s="198"/>
    <row r="428" ht="15.75" customHeight="1" s="198"/>
    <row r="429" ht="15.75" customHeight="1" s="198"/>
    <row r="430" ht="15.75" customHeight="1" s="198"/>
    <row r="431" ht="15.75" customHeight="1" s="198"/>
    <row r="432" ht="15.75" customHeight="1" s="198"/>
    <row r="433" ht="15.75" customHeight="1" s="198"/>
    <row r="434" ht="15.75" customHeight="1" s="198"/>
    <row r="435" ht="15.75" customHeight="1" s="198"/>
    <row r="436" ht="15.75" customHeight="1" s="198"/>
    <row r="437" ht="15.75" customHeight="1" s="198"/>
    <row r="438" ht="15.75" customHeight="1" s="198"/>
    <row r="439" ht="15.75" customHeight="1" s="198"/>
    <row r="440" ht="15.75" customHeight="1" s="198"/>
    <row r="441" ht="15.75" customHeight="1" s="198"/>
    <row r="442" ht="15.75" customHeight="1" s="198"/>
    <row r="443" ht="15.75" customHeight="1" s="198"/>
    <row r="444" ht="15.75" customHeight="1" s="198"/>
    <row r="445" ht="15.75" customHeight="1" s="198"/>
    <row r="446" ht="15.75" customHeight="1" s="198"/>
    <row r="447" ht="15.75" customHeight="1" s="198"/>
    <row r="448" ht="15.75" customHeight="1" s="198"/>
    <row r="449" ht="15.75" customHeight="1" s="198"/>
    <row r="450" ht="15.75" customHeight="1" s="198"/>
    <row r="451" ht="15.75" customHeight="1" s="198"/>
    <row r="452" ht="15.75" customHeight="1" s="198"/>
    <row r="453" ht="15.75" customHeight="1" s="198"/>
    <row r="454" ht="15.75" customHeight="1" s="198"/>
    <row r="455" ht="15.75" customHeight="1" s="198"/>
    <row r="456" ht="15.75" customHeight="1" s="198"/>
    <row r="457" ht="15.75" customHeight="1" s="198"/>
    <row r="458" ht="15.75" customHeight="1" s="198"/>
    <row r="459" ht="15.75" customHeight="1" s="198"/>
    <row r="460" ht="15.75" customHeight="1" s="198"/>
    <row r="461" ht="15.75" customHeight="1" s="198"/>
    <row r="462" ht="15.75" customHeight="1" s="198"/>
    <row r="463" ht="15.75" customHeight="1" s="198"/>
    <row r="464" ht="15.75" customHeight="1" s="198"/>
    <row r="465" ht="15.75" customHeight="1" s="198"/>
    <row r="466" ht="15.75" customHeight="1" s="198"/>
    <row r="467" ht="15.75" customHeight="1" s="198"/>
    <row r="468" ht="15.75" customHeight="1" s="198"/>
    <row r="469" ht="15.75" customHeight="1" s="198"/>
    <row r="470" ht="15.75" customHeight="1" s="198"/>
    <row r="471" ht="15.75" customHeight="1" s="198"/>
    <row r="472" ht="15.75" customHeight="1" s="198"/>
    <row r="473" ht="15.75" customHeight="1" s="198"/>
    <row r="474" ht="15.75" customHeight="1" s="198"/>
    <row r="475" ht="15.75" customHeight="1" s="198"/>
    <row r="476" ht="15.75" customHeight="1" s="198"/>
    <row r="477" ht="15.75" customHeight="1" s="198"/>
    <row r="478" ht="15.75" customHeight="1" s="198"/>
    <row r="479" ht="15.75" customHeight="1" s="198"/>
    <row r="480" ht="15.75" customHeight="1" s="198"/>
    <row r="481" ht="15.75" customHeight="1" s="198"/>
    <row r="482" ht="15.75" customHeight="1" s="198"/>
    <row r="483" ht="15.75" customHeight="1" s="198"/>
    <row r="484" ht="15.75" customHeight="1" s="198"/>
    <row r="485" ht="15.75" customHeight="1" s="198"/>
    <row r="486" ht="15.75" customHeight="1" s="198"/>
    <row r="487" ht="15.75" customHeight="1" s="198"/>
    <row r="488" ht="15.75" customHeight="1" s="198"/>
    <row r="489" ht="15.75" customHeight="1" s="198"/>
    <row r="490" ht="15.75" customHeight="1" s="198"/>
    <row r="491" ht="15.75" customHeight="1" s="198"/>
    <row r="492" ht="15.75" customHeight="1" s="198"/>
    <row r="493" ht="15.75" customHeight="1" s="198"/>
    <row r="494" ht="15.75" customHeight="1" s="198"/>
    <row r="495" ht="15.75" customHeight="1" s="198"/>
    <row r="496" ht="15.75" customHeight="1" s="198"/>
    <row r="497" ht="15.75" customHeight="1" s="198"/>
    <row r="498" ht="15.75" customHeight="1" s="198"/>
    <row r="499" ht="15.75" customHeight="1" s="198"/>
    <row r="500" ht="15.75" customHeight="1" s="198"/>
    <row r="501" ht="15.75" customHeight="1" s="198"/>
    <row r="502" ht="15.75" customHeight="1" s="198"/>
    <row r="503" ht="15.75" customHeight="1" s="198"/>
    <row r="504" ht="15.75" customHeight="1" s="198"/>
    <row r="505" ht="15.75" customHeight="1" s="198"/>
    <row r="506" ht="15.75" customHeight="1" s="198"/>
    <row r="507" ht="15.75" customHeight="1" s="198"/>
    <row r="508" ht="15.75" customHeight="1" s="198"/>
    <row r="509" ht="15.75" customHeight="1" s="198"/>
    <row r="510" ht="15.75" customHeight="1" s="198"/>
    <row r="511" ht="15.75" customHeight="1" s="198"/>
    <row r="512" ht="15.75" customHeight="1" s="198"/>
    <row r="513" ht="15.75" customHeight="1" s="198"/>
    <row r="514" ht="15.75" customHeight="1" s="198"/>
    <row r="515" ht="15.75" customHeight="1" s="198"/>
    <row r="516" ht="15.75" customHeight="1" s="198"/>
    <row r="517" ht="15.75" customHeight="1" s="198"/>
    <row r="518" ht="15.75" customHeight="1" s="198"/>
    <row r="519" ht="15.75" customHeight="1" s="198"/>
    <row r="520" ht="15.75" customHeight="1" s="198"/>
    <row r="521" ht="15.75" customHeight="1" s="198"/>
    <row r="522" ht="15.75" customHeight="1" s="198"/>
    <row r="523" ht="15.75" customHeight="1" s="198"/>
    <row r="524" ht="15.75" customHeight="1" s="198"/>
    <row r="525" ht="15.75" customHeight="1" s="198"/>
    <row r="526" ht="15.75" customHeight="1" s="198"/>
    <row r="527" ht="15.75" customHeight="1" s="198"/>
    <row r="528" ht="15.75" customHeight="1" s="198"/>
    <row r="529" ht="15.75" customHeight="1" s="198"/>
    <row r="530" ht="15.75" customHeight="1" s="198"/>
    <row r="531" ht="15.75" customHeight="1" s="198"/>
    <row r="532" ht="15.75" customHeight="1" s="198"/>
    <row r="533" ht="15.75" customHeight="1" s="198"/>
    <row r="534" ht="15.75" customHeight="1" s="198"/>
    <row r="535" ht="15.75" customHeight="1" s="198"/>
    <row r="536" ht="15.75" customHeight="1" s="198"/>
    <row r="537" ht="15.75" customHeight="1" s="198"/>
    <row r="538" ht="15.75" customHeight="1" s="198"/>
    <row r="539" ht="15.75" customHeight="1" s="198"/>
    <row r="540" ht="15.75" customHeight="1" s="198"/>
    <row r="541" ht="15.75" customHeight="1" s="198"/>
    <row r="542" ht="15.75" customHeight="1" s="198"/>
    <row r="543" ht="15.75" customHeight="1" s="198"/>
    <row r="544" ht="15.75" customHeight="1" s="198"/>
    <row r="545" ht="15.75" customHeight="1" s="198"/>
    <row r="546" ht="15.75" customHeight="1" s="198"/>
    <row r="547" ht="15.75" customHeight="1" s="198"/>
    <row r="548" ht="15.75" customHeight="1" s="198"/>
    <row r="549" ht="15.75" customHeight="1" s="198"/>
    <row r="550" ht="15.75" customHeight="1" s="198"/>
    <row r="551" ht="15.75" customHeight="1" s="198"/>
    <row r="552" ht="15.75" customHeight="1" s="198"/>
    <row r="553" ht="15.75" customHeight="1" s="198"/>
    <row r="554" ht="15.75" customHeight="1" s="198"/>
    <row r="555" ht="15.75" customHeight="1" s="198"/>
    <row r="556" ht="15.75" customHeight="1" s="198"/>
    <row r="557" ht="15.75" customHeight="1" s="198"/>
    <row r="558" ht="15.75" customHeight="1" s="198"/>
    <row r="559" ht="15.75" customHeight="1" s="198"/>
    <row r="560" ht="15.75" customHeight="1" s="198"/>
    <row r="561" ht="15.75" customHeight="1" s="198"/>
    <row r="562" ht="15.75" customHeight="1" s="198"/>
    <row r="563" ht="15.75" customHeight="1" s="198"/>
    <row r="564" ht="15.75" customHeight="1" s="198"/>
    <row r="565" ht="15.75" customHeight="1" s="198"/>
    <row r="566" ht="15.75" customHeight="1" s="198"/>
    <row r="567" ht="15.75" customHeight="1" s="198"/>
    <row r="568" ht="15.75" customHeight="1" s="198"/>
    <row r="569" ht="15.75" customHeight="1" s="198"/>
    <row r="570" ht="15.75" customHeight="1" s="198"/>
    <row r="571" ht="15.75" customHeight="1" s="198"/>
    <row r="572" ht="15.75" customHeight="1" s="198"/>
    <row r="573" ht="15.75" customHeight="1" s="198"/>
    <row r="574" ht="15.75" customHeight="1" s="198"/>
    <row r="575" ht="15.75" customHeight="1" s="198"/>
    <row r="576" ht="15.75" customHeight="1" s="198"/>
    <row r="577" ht="15.75" customHeight="1" s="198"/>
    <row r="578" ht="15.75" customHeight="1" s="198"/>
    <row r="579" ht="15.75" customHeight="1" s="198"/>
    <row r="580" ht="15.75" customHeight="1" s="198"/>
    <row r="581" ht="15.75" customHeight="1" s="198"/>
    <row r="582" ht="15.75" customHeight="1" s="198"/>
    <row r="583" ht="15.75" customHeight="1" s="198"/>
    <row r="584" ht="15.75" customHeight="1" s="198"/>
    <row r="585" ht="15.75" customHeight="1" s="198"/>
    <row r="586" ht="15.75" customHeight="1" s="198"/>
    <row r="587" ht="15.75" customHeight="1" s="198"/>
    <row r="588" ht="15.75" customHeight="1" s="198"/>
    <row r="589" ht="15.75" customHeight="1" s="198"/>
    <row r="590" ht="15.75" customHeight="1" s="198"/>
    <row r="591" ht="15.75" customHeight="1" s="198"/>
    <row r="592" ht="15.75" customHeight="1" s="198"/>
    <row r="593" ht="15.75" customHeight="1" s="198"/>
    <row r="594" ht="15.75" customHeight="1" s="198"/>
    <row r="595" ht="15.75" customHeight="1" s="198"/>
    <row r="596" ht="15.75" customHeight="1" s="198"/>
    <row r="597" ht="15.75" customHeight="1" s="198"/>
    <row r="598" ht="15.75" customHeight="1" s="198"/>
    <row r="599" ht="15.75" customHeight="1" s="198"/>
    <row r="600" ht="15.75" customHeight="1" s="198"/>
    <row r="601" ht="15.75" customHeight="1" s="198"/>
    <row r="602" ht="15.75" customHeight="1" s="198"/>
    <row r="603" ht="15.75" customHeight="1" s="198"/>
    <row r="604" ht="15.75" customHeight="1" s="198"/>
    <row r="605" ht="15.75" customHeight="1" s="198"/>
    <row r="606" ht="15.75" customHeight="1" s="198"/>
    <row r="607" ht="15.75" customHeight="1" s="198"/>
    <row r="608" ht="15.75" customHeight="1" s="198"/>
    <row r="609" ht="15.75" customHeight="1" s="198"/>
    <row r="610" ht="15.75" customHeight="1" s="198"/>
    <row r="611" ht="15.75" customHeight="1" s="198"/>
    <row r="612" ht="15.75" customHeight="1" s="198"/>
    <row r="613" ht="15.75" customHeight="1" s="198"/>
    <row r="614" ht="15.75" customHeight="1" s="198"/>
    <row r="615" ht="15.75" customHeight="1" s="198"/>
    <row r="616" ht="15.75" customHeight="1" s="198"/>
    <row r="617" ht="15.75" customHeight="1" s="198"/>
    <row r="618" ht="15.75" customHeight="1" s="198"/>
    <row r="619" ht="15.75" customHeight="1" s="198"/>
    <row r="620" ht="15.75" customHeight="1" s="198"/>
    <row r="621" ht="15.75" customHeight="1" s="198"/>
    <row r="622" ht="15.75" customHeight="1" s="198"/>
    <row r="623" ht="15.75" customHeight="1" s="198"/>
    <row r="624" ht="15.75" customHeight="1" s="198"/>
    <row r="625" ht="15.75" customHeight="1" s="198"/>
    <row r="626" ht="15.75" customHeight="1" s="198"/>
    <row r="627" ht="15.75" customHeight="1" s="198"/>
    <row r="628" ht="15.75" customHeight="1" s="198"/>
    <row r="629" ht="15.75" customHeight="1" s="198"/>
    <row r="630" ht="15.75" customHeight="1" s="198"/>
    <row r="631" ht="15.75" customHeight="1" s="198"/>
    <row r="632" ht="15.75" customHeight="1" s="198"/>
    <row r="633" ht="15.75" customHeight="1" s="198"/>
    <row r="634" ht="15.75" customHeight="1" s="198"/>
    <row r="635" ht="15.75" customHeight="1" s="198"/>
    <row r="636" ht="15.75" customHeight="1" s="198"/>
    <row r="637" ht="15.75" customHeight="1" s="198"/>
    <row r="638" ht="15.75" customHeight="1" s="198"/>
    <row r="639" ht="15.75" customHeight="1" s="198"/>
    <row r="640" ht="15.75" customHeight="1" s="198"/>
    <row r="641" ht="15.75" customHeight="1" s="198"/>
    <row r="642" ht="15.75" customHeight="1" s="198"/>
    <row r="643" ht="15.75" customHeight="1" s="198"/>
    <row r="644" ht="15.75" customHeight="1" s="198"/>
    <row r="645" ht="15.75" customHeight="1" s="198"/>
    <row r="646" ht="15.75" customHeight="1" s="198"/>
    <row r="647" ht="15.75" customHeight="1" s="198"/>
    <row r="648" ht="15.75" customHeight="1" s="198"/>
    <row r="649" ht="15.75" customHeight="1" s="198"/>
    <row r="650" ht="15.75" customHeight="1" s="198"/>
    <row r="651" ht="15.75" customHeight="1" s="198"/>
    <row r="652" ht="15.75" customHeight="1" s="198"/>
    <row r="653" ht="15.75" customHeight="1" s="198"/>
    <row r="654" ht="15.75" customHeight="1" s="198"/>
    <row r="655" ht="15.75" customHeight="1" s="198"/>
    <row r="656" ht="15.75" customHeight="1" s="198"/>
    <row r="657" ht="15.75" customHeight="1" s="198"/>
    <row r="658" ht="15.75" customHeight="1" s="198"/>
    <row r="659" ht="15.75" customHeight="1" s="198"/>
    <row r="660" ht="15.75" customHeight="1" s="198"/>
    <row r="661" ht="15.75" customHeight="1" s="198"/>
    <row r="662" ht="15.75" customHeight="1" s="198"/>
    <row r="663" ht="15.75" customHeight="1" s="198"/>
    <row r="664" ht="15.75" customHeight="1" s="198"/>
    <row r="665" ht="15.75" customHeight="1" s="198"/>
    <row r="666" ht="15.75" customHeight="1" s="198"/>
    <row r="667" ht="15.75" customHeight="1" s="198"/>
    <row r="668" ht="15.75" customHeight="1" s="198"/>
    <row r="669" ht="15.75" customHeight="1" s="198"/>
    <row r="670" ht="15.75" customHeight="1" s="198"/>
    <row r="671" ht="15.75" customHeight="1" s="198"/>
    <row r="672" ht="15.75" customHeight="1" s="198"/>
    <row r="673" ht="15.75" customHeight="1" s="198"/>
    <row r="674" ht="15.75" customHeight="1" s="198"/>
    <row r="675" ht="15.75" customHeight="1" s="198"/>
    <row r="676" ht="15.75" customHeight="1" s="198"/>
    <row r="677" ht="15.75" customHeight="1" s="198"/>
    <row r="678" ht="15.75" customHeight="1" s="198"/>
    <row r="679" ht="15.75" customHeight="1" s="198"/>
    <row r="680" ht="15.75" customHeight="1" s="198"/>
    <row r="681" ht="15.75" customHeight="1" s="198"/>
    <row r="682" ht="15.75" customHeight="1" s="198"/>
    <row r="683" ht="15.75" customHeight="1" s="198"/>
    <row r="684" ht="15.75" customHeight="1" s="198"/>
    <row r="685" ht="15.75" customHeight="1" s="198"/>
    <row r="686" ht="15.75" customHeight="1" s="198"/>
    <row r="687" ht="15.75" customHeight="1" s="198"/>
    <row r="688" ht="15.75" customHeight="1" s="198"/>
    <row r="689" ht="15.75" customHeight="1" s="198"/>
    <row r="690" ht="15.75" customHeight="1" s="198"/>
    <row r="691" ht="15.75" customHeight="1" s="198"/>
    <row r="692" ht="15.75" customHeight="1" s="198"/>
    <row r="693" ht="15.75" customHeight="1" s="198"/>
    <row r="694" ht="15.75" customHeight="1" s="198"/>
    <row r="695" ht="15.75" customHeight="1" s="198"/>
    <row r="696" ht="15.75" customHeight="1" s="198"/>
    <row r="697" ht="15.75" customHeight="1" s="198"/>
    <row r="698" ht="15.75" customHeight="1" s="198"/>
    <row r="699" ht="15.75" customHeight="1" s="198"/>
    <row r="700" ht="15.75" customHeight="1" s="198"/>
    <row r="701" ht="15.75" customHeight="1" s="198"/>
    <row r="702" ht="15.75" customHeight="1" s="198"/>
    <row r="703" ht="15.75" customHeight="1" s="198"/>
    <row r="704" ht="15.75" customHeight="1" s="198"/>
    <row r="705" ht="15.75" customHeight="1" s="198"/>
    <row r="706" ht="15.75" customHeight="1" s="198"/>
    <row r="707" ht="15.75" customHeight="1" s="198"/>
    <row r="708" ht="15.75" customHeight="1" s="198"/>
    <row r="709" ht="15.75" customHeight="1" s="198"/>
    <row r="710" ht="15.75" customHeight="1" s="198"/>
    <row r="711" ht="15.75" customHeight="1" s="198"/>
    <row r="712" ht="15.75" customHeight="1" s="198"/>
    <row r="713" ht="15.75" customHeight="1" s="198"/>
    <row r="714" ht="15.75" customHeight="1" s="198"/>
    <row r="715" ht="15.75" customHeight="1" s="198"/>
    <row r="716" ht="15.75" customHeight="1" s="198"/>
    <row r="717" ht="15.75" customHeight="1" s="198"/>
    <row r="718" ht="15.75" customHeight="1" s="198"/>
    <row r="719" ht="15.75" customHeight="1" s="198"/>
    <row r="720" ht="15.75" customHeight="1" s="198"/>
    <row r="721" ht="15.75" customHeight="1" s="198"/>
    <row r="722" ht="15.75" customHeight="1" s="198"/>
    <row r="723" ht="15.75" customHeight="1" s="198"/>
    <row r="724" ht="15.75" customHeight="1" s="198"/>
    <row r="725" ht="15.75" customHeight="1" s="198"/>
    <row r="726" ht="15.75" customHeight="1" s="198"/>
    <row r="727" ht="15.75" customHeight="1" s="198"/>
    <row r="728" ht="15.75" customHeight="1" s="198"/>
    <row r="729" ht="15.75" customHeight="1" s="198"/>
    <row r="730" ht="15.75" customHeight="1" s="198"/>
    <row r="731" ht="15.75" customHeight="1" s="198"/>
    <row r="732" ht="15.75" customHeight="1" s="198"/>
    <row r="733" ht="15.75" customHeight="1" s="198"/>
    <row r="734" ht="15.75" customHeight="1" s="198"/>
    <row r="735" ht="15.75" customHeight="1" s="198"/>
    <row r="736" ht="15.75" customHeight="1" s="198"/>
    <row r="737" ht="15.75" customHeight="1" s="198"/>
    <row r="738" ht="15.75" customHeight="1" s="198"/>
    <row r="739" ht="15.75" customHeight="1" s="198"/>
    <row r="740" ht="15.75" customHeight="1" s="198"/>
    <row r="741" ht="15.75" customHeight="1" s="198"/>
    <row r="742" ht="15.75" customHeight="1" s="198"/>
    <row r="743" ht="15.75" customHeight="1" s="198"/>
    <row r="744" ht="15.75" customHeight="1" s="198"/>
    <row r="745" ht="15.75" customHeight="1" s="198"/>
    <row r="746" ht="15.75" customHeight="1" s="198"/>
    <row r="747" ht="15.75" customHeight="1" s="198"/>
    <row r="748" ht="15.75" customHeight="1" s="198"/>
    <row r="749" ht="15.75" customHeight="1" s="198"/>
    <row r="750" ht="15.75" customHeight="1" s="198"/>
    <row r="751" ht="15.75" customHeight="1" s="198"/>
    <row r="752" ht="15.75" customHeight="1" s="198"/>
    <row r="753" ht="15.75" customHeight="1" s="198"/>
    <row r="754" ht="15.75" customHeight="1" s="198"/>
    <row r="755" ht="15.75" customHeight="1" s="198"/>
    <row r="756" ht="15.75" customHeight="1" s="198"/>
    <row r="757" ht="15.75" customHeight="1" s="198"/>
    <row r="758" ht="15.75" customHeight="1" s="198"/>
    <row r="759" ht="15.75" customHeight="1" s="198"/>
    <row r="760" ht="15.75" customHeight="1" s="198"/>
    <row r="761" ht="15.75" customHeight="1" s="198"/>
    <row r="762" ht="15.75" customHeight="1" s="198"/>
    <row r="763" ht="15.75" customHeight="1" s="198"/>
    <row r="764" ht="15.75" customHeight="1" s="198"/>
    <row r="765" ht="15.75" customHeight="1" s="198"/>
    <row r="766" ht="15.75" customHeight="1" s="198"/>
    <row r="767" ht="15.75" customHeight="1" s="198"/>
    <row r="768" ht="15.75" customHeight="1" s="198"/>
    <row r="769" ht="15.75" customHeight="1" s="198"/>
    <row r="770" ht="15.75" customHeight="1" s="198"/>
    <row r="771" ht="15.75" customHeight="1" s="198"/>
    <row r="772" ht="15.75" customHeight="1" s="198"/>
    <row r="773" ht="15.75" customHeight="1" s="198"/>
    <row r="774" ht="15.75" customHeight="1" s="198"/>
    <row r="775" ht="15.75" customHeight="1" s="198"/>
    <row r="776" ht="15.75" customHeight="1" s="198"/>
    <row r="777" ht="15.75" customHeight="1" s="198"/>
    <row r="778" ht="15.75" customHeight="1" s="198"/>
    <row r="779" ht="15.75" customHeight="1" s="198"/>
    <row r="780" ht="15.75" customHeight="1" s="198"/>
    <row r="781" ht="15.75" customHeight="1" s="198"/>
    <row r="782" ht="15.75" customHeight="1" s="198"/>
    <row r="783" ht="15.75" customHeight="1" s="198"/>
    <row r="784" ht="15.75" customHeight="1" s="198"/>
    <row r="785" ht="15.75" customHeight="1" s="198"/>
    <row r="786" ht="15.75" customHeight="1" s="198"/>
    <row r="787" ht="15.75" customHeight="1" s="198"/>
    <row r="788" ht="15.75" customHeight="1" s="198"/>
    <row r="789" ht="15.75" customHeight="1" s="198"/>
    <row r="790" ht="15.75" customHeight="1" s="198"/>
    <row r="791" ht="15.75" customHeight="1" s="198"/>
    <row r="792" ht="15.75" customHeight="1" s="198"/>
    <row r="793" ht="15.75" customHeight="1" s="198"/>
    <row r="794" ht="15.75" customHeight="1" s="198"/>
    <row r="795" ht="15.75" customHeight="1" s="198"/>
    <row r="796" ht="15.75" customHeight="1" s="198"/>
    <row r="797" ht="15.75" customHeight="1" s="198"/>
    <row r="798" ht="15.75" customHeight="1" s="198"/>
    <row r="799" ht="15.75" customHeight="1" s="198"/>
    <row r="800" ht="15.75" customHeight="1" s="198"/>
    <row r="801" ht="15.75" customHeight="1" s="198"/>
    <row r="802" ht="15.75" customHeight="1" s="198"/>
    <row r="803" ht="15.75" customHeight="1" s="198"/>
    <row r="804" ht="15.75" customHeight="1" s="198"/>
    <row r="805" ht="15.75" customHeight="1" s="198"/>
    <row r="806" ht="15.75" customHeight="1" s="198"/>
    <row r="807" ht="15.75" customHeight="1" s="198"/>
    <row r="808" ht="15.75" customHeight="1" s="198"/>
    <row r="809" ht="15.75" customHeight="1" s="198"/>
    <row r="810" ht="15.75" customHeight="1" s="198"/>
    <row r="811" ht="15.75" customHeight="1" s="198"/>
    <row r="812" ht="15.75" customHeight="1" s="198"/>
    <row r="813" ht="15.75" customHeight="1" s="198"/>
    <row r="814" ht="15.75" customHeight="1" s="198"/>
    <row r="815" ht="15.75" customHeight="1" s="198"/>
    <row r="816" ht="15.75" customHeight="1" s="198"/>
    <row r="817" ht="15.75" customHeight="1" s="198"/>
    <row r="818" ht="15.75" customHeight="1" s="198"/>
    <row r="819" ht="15.75" customHeight="1" s="198"/>
    <row r="820" ht="15.75" customHeight="1" s="198"/>
    <row r="821" ht="15.75" customHeight="1" s="198"/>
    <row r="822" ht="15.75" customHeight="1" s="198"/>
    <row r="823" ht="15.75" customHeight="1" s="198"/>
    <row r="824" ht="15.75" customHeight="1" s="198"/>
    <row r="825" ht="15.75" customHeight="1" s="198"/>
    <row r="826" ht="15.75" customHeight="1" s="198"/>
    <row r="827" ht="15.75" customHeight="1" s="198"/>
    <row r="828" ht="15.75" customHeight="1" s="198"/>
    <row r="829" ht="15.75" customHeight="1" s="198"/>
    <row r="830" ht="15.75" customHeight="1" s="198"/>
    <row r="831" ht="15.75" customHeight="1" s="198"/>
    <row r="832" ht="15.75" customHeight="1" s="198"/>
    <row r="833" ht="15.75" customHeight="1" s="198"/>
    <row r="834" ht="15.75" customHeight="1" s="198"/>
    <row r="835" ht="15.75" customHeight="1" s="198"/>
    <row r="836" ht="15.75" customHeight="1" s="198"/>
    <row r="837" ht="15.75" customHeight="1" s="198"/>
    <row r="838" ht="15.75" customHeight="1" s="198"/>
    <row r="839" ht="15.75" customHeight="1" s="198"/>
    <row r="840" ht="15.75" customHeight="1" s="198"/>
    <row r="841" ht="15.75" customHeight="1" s="198"/>
    <row r="842" ht="15.75" customHeight="1" s="198"/>
    <row r="843" ht="15.75" customHeight="1" s="198"/>
    <row r="844" ht="15.75" customHeight="1" s="198"/>
    <row r="845" ht="15.75" customHeight="1" s="198"/>
    <row r="846" ht="15.75" customHeight="1" s="198"/>
    <row r="847" ht="15.75" customHeight="1" s="198"/>
    <row r="848" ht="15.75" customHeight="1" s="198"/>
    <row r="849" ht="15.75" customHeight="1" s="198"/>
    <row r="850" ht="15.75" customHeight="1" s="198"/>
    <row r="851" ht="15.75" customHeight="1" s="198"/>
    <row r="852" ht="15.75" customHeight="1" s="198"/>
    <row r="853" ht="15.75" customHeight="1" s="198"/>
    <row r="854" ht="15.75" customHeight="1" s="198"/>
    <row r="855" ht="15.75" customHeight="1" s="198"/>
    <row r="856" ht="15.75" customHeight="1" s="198"/>
    <row r="857" ht="15.75" customHeight="1" s="198"/>
    <row r="858" ht="15.75" customHeight="1" s="198"/>
    <row r="859" ht="15.75" customHeight="1" s="198"/>
    <row r="860" ht="15.75" customHeight="1" s="198"/>
    <row r="861" ht="15.75" customHeight="1" s="198"/>
    <row r="862" ht="15.75" customHeight="1" s="198"/>
    <row r="863" ht="15.75" customHeight="1" s="198"/>
    <row r="864" ht="15.75" customHeight="1" s="198"/>
    <row r="865" ht="15.75" customHeight="1" s="198"/>
    <row r="866" ht="15.75" customHeight="1" s="198"/>
    <row r="867" ht="15.75" customHeight="1" s="198"/>
    <row r="868" ht="15.75" customHeight="1" s="198"/>
    <row r="869" ht="15.75" customHeight="1" s="198"/>
    <row r="870" ht="15.75" customHeight="1" s="198"/>
    <row r="871" ht="15.75" customHeight="1" s="198"/>
    <row r="872" ht="15.75" customHeight="1" s="198"/>
    <row r="873" ht="15.75" customHeight="1" s="198"/>
    <row r="874" ht="15.75" customHeight="1" s="198"/>
    <row r="875" ht="15.75" customHeight="1" s="198"/>
    <row r="876" ht="15.75" customHeight="1" s="198"/>
    <row r="877" ht="15.75" customHeight="1" s="198"/>
    <row r="878" ht="15.75" customHeight="1" s="198"/>
    <row r="879" ht="15.75" customHeight="1" s="198"/>
    <row r="880" ht="15.75" customHeight="1" s="198"/>
    <row r="881" ht="15.75" customHeight="1" s="198"/>
    <row r="882" ht="15.75" customHeight="1" s="198"/>
    <row r="883" ht="15.75" customHeight="1" s="198"/>
    <row r="884" ht="15.75" customHeight="1" s="198"/>
    <row r="885" ht="15.75" customHeight="1" s="198"/>
    <row r="886" ht="15.75" customHeight="1" s="198"/>
    <row r="887" ht="15.75" customHeight="1" s="198"/>
    <row r="888" ht="15.75" customHeight="1" s="198"/>
    <row r="889" ht="15.75" customHeight="1" s="198"/>
    <row r="890" ht="15.75" customHeight="1" s="198"/>
    <row r="891" ht="15.75" customHeight="1" s="198"/>
    <row r="892" ht="15.75" customHeight="1" s="198"/>
    <row r="893" ht="15.75" customHeight="1" s="198"/>
    <row r="894" ht="15.75" customHeight="1" s="198"/>
    <row r="895" ht="15.75" customHeight="1" s="198"/>
    <row r="896" ht="15.75" customHeight="1" s="198"/>
    <row r="897" ht="15.75" customHeight="1" s="198"/>
    <row r="898" ht="15.75" customHeight="1" s="198"/>
    <row r="899" ht="15.75" customHeight="1" s="198"/>
    <row r="900" ht="15.75" customHeight="1" s="198"/>
    <row r="901" ht="15.75" customHeight="1" s="198"/>
    <row r="902" ht="15.75" customHeight="1" s="198"/>
    <row r="903" ht="15.75" customHeight="1" s="198"/>
    <row r="904" ht="15.75" customHeight="1" s="198"/>
    <row r="905" ht="15.75" customHeight="1" s="198"/>
    <row r="906" ht="15.75" customHeight="1" s="198"/>
    <row r="907" ht="15.75" customHeight="1" s="198"/>
    <row r="908" ht="15.75" customHeight="1" s="198"/>
    <row r="909" ht="15.75" customHeight="1" s="198"/>
    <row r="910" ht="15.75" customHeight="1" s="198"/>
    <row r="911" ht="15.75" customHeight="1" s="198"/>
    <row r="912" ht="15.75" customHeight="1" s="198"/>
    <row r="913" ht="15.75" customHeight="1" s="198"/>
    <row r="914" ht="15.75" customHeight="1" s="198"/>
    <row r="915" ht="15.75" customHeight="1" s="198"/>
    <row r="916" ht="15.75" customHeight="1" s="198"/>
    <row r="917" ht="15.75" customHeight="1" s="198"/>
    <row r="918" ht="15.75" customHeight="1" s="198"/>
    <row r="919" ht="15.75" customHeight="1" s="198"/>
    <row r="920" ht="15.75" customHeight="1" s="198"/>
    <row r="921" ht="15.75" customHeight="1" s="198"/>
    <row r="922" ht="15.75" customHeight="1" s="198"/>
    <row r="923" ht="15.75" customHeight="1" s="198"/>
    <row r="924" ht="15.75" customHeight="1" s="198"/>
    <row r="925" ht="15.75" customHeight="1" s="198"/>
    <row r="926" ht="15.75" customHeight="1" s="198"/>
    <row r="927" ht="15.75" customHeight="1" s="198"/>
    <row r="928" ht="15.75" customHeight="1" s="198"/>
    <row r="929" ht="15.75" customHeight="1" s="198"/>
    <row r="930" ht="15.75" customHeight="1" s="198"/>
    <row r="931" ht="15.75" customHeight="1" s="198"/>
    <row r="932" ht="15.75" customHeight="1" s="198"/>
    <row r="933" ht="15.75" customHeight="1" s="198"/>
    <row r="934" ht="15.75" customHeight="1" s="198"/>
    <row r="935" ht="15.75" customHeight="1" s="198"/>
    <row r="936" ht="15.75" customHeight="1" s="198"/>
    <row r="937" ht="15.75" customHeight="1" s="198"/>
    <row r="938" ht="15.75" customHeight="1" s="198"/>
    <row r="939" ht="15.75" customHeight="1" s="198"/>
    <row r="940" ht="15.75" customHeight="1" s="198"/>
    <row r="941" ht="15.75" customHeight="1" s="198"/>
    <row r="942" ht="15.75" customHeight="1" s="198"/>
    <row r="943" ht="15.75" customHeight="1" s="198"/>
    <row r="944" ht="15.75" customHeight="1" s="198"/>
    <row r="945" ht="15.75" customHeight="1" s="198"/>
    <row r="946" ht="15.75" customHeight="1" s="198"/>
    <row r="947" ht="15.75" customHeight="1" s="198"/>
    <row r="948" ht="15.75" customHeight="1" s="198"/>
    <row r="949" ht="15.75" customHeight="1" s="198"/>
    <row r="950" ht="15.75" customHeight="1" s="198"/>
    <row r="951" ht="15.75" customHeight="1" s="198"/>
    <row r="952" ht="15.75" customHeight="1" s="198"/>
    <row r="953" ht="15.75" customHeight="1" s="198"/>
    <row r="954" ht="15.75" customHeight="1" s="198"/>
    <row r="955" ht="15.75" customHeight="1" s="198"/>
    <row r="956" ht="15.75" customHeight="1" s="198"/>
    <row r="957" ht="15.75" customHeight="1" s="198"/>
    <row r="958" ht="15.75" customHeight="1" s="198"/>
    <row r="959" ht="15.75" customHeight="1" s="198"/>
    <row r="960" ht="15.75" customHeight="1" s="198"/>
    <row r="961" ht="15.75" customHeight="1" s="198"/>
    <row r="962" ht="15.75" customHeight="1" s="198"/>
    <row r="963" ht="15.75" customHeight="1" s="198"/>
    <row r="964" ht="15.75" customHeight="1" s="198"/>
    <row r="965" ht="15.75" customHeight="1" s="198"/>
    <row r="966" ht="15.75" customHeight="1" s="198"/>
    <row r="967" ht="15.75" customHeight="1" s="198"/>
    <row r="968" ht="15.75" customHeight="1" s="198"/>
    <row r="969" ht="15.75" customHeight="1" s="198"/>
    <row r="970" ht="15.75" customHeight="1" s="198"/>
    <row r="971" ht="15.75" customHeight="1" s="198"/>
    <row r="972" ht="15.75" customHeight="1" s="198"/>
    <row r="973" ht="15.75" customHeight="1" s="198"/>
    <row r="974" ht="15.75" customHeight="1" s="198"/>
    <row r="975" ht="15.75" customHeight="1" s="198"/>
    <row r="976" ht="15.75" customHeight="1" s="198"/>
    <row r="977" ht="15.75" customHeight="1" s="198"/>
    <row r="978" ht="15.75" customHeight="1" s="198"/>
    <row r="979" ht="15.75" customHeight="1" s="198"/>
    <row r="980" ht="15.75" customHeight="1" s="198"/>
    <row r="981" ht="15.75" customHeight="1" s="198"/>
    <row r="982" ht="15.75" customHeight="1" s="198"/>
    <row r="983" ht="15.75" customHeight="1" s="198"/>
    <row r="984" ht="15.75" customHeight="1" s="198"/>
    <row r="985" ht="15.75" customHeight="1" s="198"/>
    <row r="986" ht="15.75" customHeight="1" s="198"/>
    <row r="987" ht="15.75" customHeight="1" s="198"/>
    <row r="988" ht="15.75" customHeight="1" s="198"/>
    <row r="989" ht="15.75" customHeight="1" s="198"/>
    <row r="990" ht="15.75" customHeight="1" s="198"/>
    <row r="991" ht="15.75" customHeight="1" s="198"/>
    <row r="992" ht="15.75" customHeight="1" s="198"/>
    <row r="993" ht="15.75" customHeight="1" s="198"/>
    <row r="994" ht="15.75" customHeight="1" s="198"/>
    <row r="995" ht="15.75" customHeight="1" s="198"/>
    <row r="996" ht="15.75" customHeight="1" s="198"/>
    <row r="997" ht="15.75" customHeight="1" s="198"/>
    <row r="998" ht="15.75" customHeight="1" s="198"/>
    <row r="999" ht="15.75" customHeight="1" s="198"/>
    <row r="1000" ht="15.75" customHeight="1" s="198"/>
  </sheetData>
  <mergeCells count="5">
    <mergeCell ref="B2:C2"/>
    <mergeCell ref="B3:C3"/>
    <mergeCell ref="A6:B8"/>
    <mergeCell ref="A4:C4"/>
    <mergeCell ref="B1:C1"/>
  </mergeCells>
  <pageMargins left="0.7" right="0.7" top="0.75" bottom="0.75" header="0" footer="0"/>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0" summaryRight="0"/>
    <pageSetUpPr/>
  </sheetPr>
  <dimension ref="A1:Z31"/>
  <sheetViews>
    <sheetView showGridLines="0" workbookViewId="0">
      <selection activeCell="A1" sqref="A1"/>
    </sheetView>
  </sheetViews>
  <sheetFormatPr baseColWidth="10" defaultColWidth="14.3984375" defaultRowHeight="15" customHeight="1"/>
  <cols>
    <col width="4.19921875" customWidth="1" style="198" min="1" max="1"/>
    <col width="22.19921875" customWidth="1" style="198" min="2" max="2"/>
    <col width="19" customWidth="1" style="198" min="3" max="3"/>
  </cols>
  <sheetData>
    <row r="1" ht="15.75" customHeight="1" s="198"/>
    <row r="2" ht="15.75" customHeight="1" s="198">
      <c r="B2" s="89" t="inlineStr">
        <is>
          <t>Tarifa 2025, sujeta a cambios durante el año</t>
        </is>
      </c>
      <c r="C2" s="69" t="n"/>
      <c r="D2" s="69" t="n"/>
      <c r="E2" s="68" t="n"/>
      <c r="F2" s="68" t="n"/>
      <c r="G2" s="69" t="n"/>
      <c r="H2" s="69" t="n"/>
      <c r="I2" s="70" t="n"/>
    </row>
    <row r="3" ht="15.75" customHeight="1" s="198">
      <c r="B3" s="89" t="inlineStr">
        <is>
          <t>No incluye IVA</t>
        </is>
      </c>
      <c r="C3" s="69" t="n"/>
      <c r="D3" s="69" t="n"/>
      <c r="E3" s="68" t="n"/>
      <c r="F3" s="68" t="n"/>
      <c r="G3" s="69" t="n"/>
      <c r="H3" s="69" t="n"/>
      <c r="I3" s="70" t="n"/>
    </row>
    <row r="4" ht="15.75" customHeight="1" s="198">
      <c r="B4" s="89" t="inlineStr">
        <is>
          <t>No incluye elaboración de materiales</t>
        </is>
      </c>
      <c r="C4" s="69" t="n"/>
      <c r="D4" s="69" t="n"/>
      <c r="E4" s="68" t="n"/>
      <c r="F4" s="68" t="n"/>
      <c r="G4" s="69" t="n"/>
      <c r="H4" s="69" t="n"/>
      <c r="I4" s="70" t="n"/>
    </row>
    <row r="5" ht="15.75" customHeight="1" s="198">
      <c r="B5" s="89" t="inlineStr">
        <is>
          <t>Temporalidad:</t>
        </is>
      </c>
      <c r="C5" s="69">
        <f>'OI - Pauta'!D17-'OI - Pauta'!D16</f>
        <v/>
      </c>
      <c r="D5" s="69" t="inlineStr">
        <is>
          <t>días</t>
        </is>
      </c>
      <c r="E5" s="68" t="n"/>
      <c r="F5" s="68" t="n"/>
      <c r="G5" s="69" t="n"/>
      <c r="H5" s="69" t="n"/>
      <c r="I5" s="70" t="n"/>
    </row>
    <row r="6" ht="15.75" customHeight="1" s="198">
      <c r="B6" s="89" t="inlineStr">
        <is>
          <t>Frecuencia por formato</t>
        </is>
      </c>
      <c r="C6" s="69" t="n"/>
      <c r="D6" s="69" t="n"/>
      <c r="E6" s="68" t="n"/>
      <c r="F6" s="68" t="n"/>
      <c r="G6" s="69" t="n"/>
      <c r="H6" s="69" t="n"/>
      <c r="I6" s="70" t="n"/>
    </row>
    <row r="7" ht="15.75" customHeight="1" s="198">
      <c r="B7" s="89" t="inlineStr">
        <is>
          <t>Inventario revisado:</t>
        </is>
      </c>
      <c r="C7" s="90">
        <f>'OI - Pauta'!D12</f>
        <v/>
      </c>
      <c r="D7" s="69" t="n"/>
      <c r="E7" s="68" t="n"/>
      <c r="F7" s="68" t="n"/>
      <c r="G7" s="69" t="n"/>
      <c r="H7" s="69" t="n"/>
      <c r="I7" s="70" t="n"/>
    </row>
    <row r="8" ht="15.75" customHeight="1" s="198">
      <c r="B8" s="89" t="inlineStr">
        <is>
          <t>Vigencia de Pauta:</t>
        </is>
      </c>
      <c r="C8" s="69" t="n">
        <v>5</v>
      </c>
      <c r="D8" s="69" t="inlineStr">
        <is>
          <t>día(s) hábil(es) después de la fecha de revisión. En caso de cierre posterior, consultar nuevamente disponibilidad.</t>
        </is>
      </c>
      <c r="E8" s="68" t="n"/>
      <c r="F8" s="68" t="n"/>
      <c r="G8" s="69" t="n"/>
      <c r="H8" s="69" t="n"/>
      <c r="I8" s="70" t="n"/>
    </row>
    <row r="9" ht="15.75" customHeight="1" s="198">
      <c r="B9" s="89" t="inlineStr">
        <is>
          <t>Views estimados con duración máxima de 30 segundos</t>
        </is>
      </c>
      <c r="C9" s="69" t="n"/>
      <c r="D9" s="69" t="n"/>
      <c r="E9" s="68" t="n"/>
      <c r="F9" s="68" t="n"/>
      <c r="G9" s="69" t="n"/>
      <c r="H9" s="69" t="n"/>
      <c r="I9" s="70" t="n"/>
    </row>
    <row r="10" ht="15.75" customHeight="1" s="198">
      <c r="B10" s="69" t="inlineStr">
        <is>
          <t>** Formato sujeto a disponibilidad del medio. Formato no disponible en Televisa News</t>
        </is>
      </c>
      <c r="C10" s="69" t="n"/>
      <c r="D10" s="69" t="n"/>
      <c r="E10" s="68" t="n"/>
      <c r="F10" s="68" t="n"/>
      <c r="G10" s="69" t="n"/>
      <c r="H10" s="69" t="n"/>
      <c r="I10" s="70" t="n"/>
    </row>
    <row r="11" ht="15.75" customHeight="1" s="198">
      <c r="B11" s="69" t="inlineStr">
        <is>
          <t>La frecuencia estimada, no comprometida</t>
        </is>
      </c>
      <c r="C11" s="69" t="n"/>
      <c r="D11" s="69" t="n"/>
      <c r="E11" s="68" t="n"/>
      <c r="F11" s="68" t="n"/>
      <c r="G11" s="69" t="n"/>
      <c r="H11" s="69" t="n"/>
      <c r="I11" s="70" t="n"/>
    </row>
    <row r="12" ht="15.75" customHeight="1" s="198">
      <c r="B12" s="91" t="inlineStr">
        <is>
          <t>Audiencia</t>
        </is>
      </c>
      <c r="C12" s="69" t="n"/>
      <c r="D12" s="69" t="n"/>
      <c r="E12" s="68" t="n"/>
      <c r="F12" s="68" t="n"/>
      <c r="G12" s="69" t="n"/>
      <c r="H12" s="69" t="n"/>
      <c r="I12" s="70" t="n"/>
    </row>
    <row r="13" ht="15.75" customHeight="1" s="198">
      <c r="B13" s="68" t="inlineStr">
        <is>
          <t>ID 1, ID 2, ID 3</t>
        </is>
      </c>
      <c r="C13" s="69" t="n"/>
      <c r="D13" s="69" t="n"/>
      <c r="E13" s="68" t="n"/>
      <c r="F13" s="68" t="n"/>
      <c r="G13" s="69" t="n"/>
      <c r="H13" s="69" t="n"/>
      <c r="I13" s="70" t="n"/>
    </row>
    <row r="14" ht="15.75" customHeight="1" s="198">
      <c r="B14" s="68" t="n"/>
      <c r="C14" s="69" t="n"/>
      <c r="D14" s="69" t="n"/>
      <c r="E14" s="68" t="n"/>
      <c r="F14" s="68" t="n"/>
      <c r="G14" s="69" t="n"/>
      <c r="H14" s="69" t="n"/>
      <c r="I14" s="70" t="n"/>
    </row>
    <row r="15" ht="15.75" customHeight="1" s="198">
      <c r="B15" s="68" t="n"/>
      <c r="C15" s="69" t="n"/>
      <c r="D15" s="69" t="n"/>
      <c r="E15" s="68" t="n"/>
      <c r="F15" s="68" t="n"/>
      <c r="G15" s="69" t="n"/>
      <c r="H15" s="69" t="n"/>
      <c r="I15" s="70" t="n"/>
    </row>
    <row r="16" ht="15.75" customHeight="1" s="198">
      <c r="B16" s="92" t="inlineStr">
        <is>
          <t>Apéndice</t>
        </is>
      </c>
      <c r="C16" s="93" t="n"/>
      <c r="D16" s="93" t="n"/>
      <c r="E16" s="94" t="n"/>
      <c r="F16" s="94" t="n"/>
      <c r="G16" s="93" t="n"/>
      <c r="H16" s="93" t="n"/>
      <c r="I16" s="95" t="n"/>
    </row>
    <row r="17" ht="49.5" customHeight="1" s="198">
      <c r="A17" s="96" t="n"/>
      <c r="B17" s="97" t="inlineStr">
        <is>
          <t>Televisa Digital te ofrece la posibilidad de segmentar tus campañas bajo los siguientes criterios:
(Aplica para Geotargeting, OS, Dispositivo, Día/Hora, Plataforma)</t>
        </is>
      </c>
      <c r="C17" s="98" t="n"/>
      <c r="D17" s="98" t="n"/>
      <c r="E17" s="99" t="n"/>
      <c r="F17" s="99" t="n"/>
      <c r="G17" s="98" t="n"/>
      <c r="H17" s="98" t="n"/>
      <c r="I17" s="100" t="n"/>
      <c r="J17" s="96" t="n"/>
      <c r="K17" s="96" t="n"/>
      <c r="L17" s="96" t="n"/>
      <c r="M17" s="96" t="n"/>
      <c r="N17" s="96" t="n"/>
      <c r="O17" s="96" t="n"/>
      <c r="P17" s="96" t="n"/>
      <c r="Q17" s="96" t="n"/>
      <c r="R17" s="96" t="n"/>
      <c r="S17" s="96" t="n"/>
      <c r="T17" s="96" t="n"/>
      <c r="U17" s="96" t="n"/>
      <c r="V17" s="96" t="n"/>
      <c r="W17" s="96" t="n"/>
      <c r="X17" s="96" t="n"/>
      <c r="Y17" s="96" t="n"/>
      <c r="Z17" s="96" t="n"/>
    </row>
    <row r="18" ht="15.75" customHeight="1" s="198">
      <c r="B18" s="101" t="n"/>
      <c r="C18" s="102" t="n"/>
      <c r="D18" s="102" t="n"/>
      <c r="E18" s="103" t="n"/>
      <c r="F18" s="103" t="n"/>
      <c r="G18" s="102" t="n"/>
      <c r="H18" s="102" t="n"/>
      <c r="I18" s="104" t="n"/>
    </row>
    <row r="19" ht="56.25" customHeight="1" s="198">
      <c r="B19" s="260" t="inlineStr">
        <is>
          <t>10% segmentaciones - 2 a 3 segmentaciones 
5% una segmentación
10% retargeting
Costo de  segmentación por audienciencia depende del grado de sofisticación.</t>
        </is>
      </c>
      <c r="I19" s="261" t="n"/>
    </row>
    <row r="20" ht="15.75" customHeight="1" s="198">
      <c r="B20" s="101" t="n"/>
      <c r="C20" s="102" t="n"/>
      <c r="D20" s="102" t="n"/>
      <c r="E20" s="103" t="n"/>
      <c r="F20" s="103" t="n"/>
      <c r="G20" s="102" t="n"/>
      <c r="H20" s="102" t="n"/>
      <c r="I20" s="104" t="n"/>
    </row>
    <row r="21" ht="15.75" customHeight="1" s="198">
      <c r="B21" s="105" t="inlineStr">
        <is>
          <t>La segmentación por audiencias se cotiza por separado</t>
        </is>
      </c>
      <c r="C21" s="102" t="n"/>
      <c r="D21" s="106" t="n"/>
      <c r="E21" s="103" t="n"/>
      <c r="F21" s="103" t="n"/>
      <c r="G21" s="102" t="n"/>
      <c r="H21" s="102" t="n"/>
      <c r="I21" s="104" t="n"/>
    </row>
    <row r="22" ht="15.75" customHeight="1" s="198">
      <c r="B22" s="105" t="n"/>
      <c r="C22" s="102" t="n"/>
      <c r="D22" s="106" t="n"/>
      <c r="E22" s="103" t="n"/>
      <c r="F22" s="103" t="n"/>
      <c r="G22" s="102" t="n"/>
      <c r="H22" s="102" t="n"/>
      <c r="I22" s="104" t="n"/>
    </row>
    <row r="23" ht="15.75" customHeight="1" s="198">
      <c r="B23" s="105" t="inlineStr">
        <is>
          <t>Por día / horario:</t>
        </is>
      </c>
      <c r="C23" s="102" t="n"/>
      <c r="D23" s="106" t="inlineStr">
        <is>
          <t>Por Sistema Operativo / Device Category / Modelo / Browser:</t>
        </is>
      </c>
      <c r="E23" s="103" t="n"/>
      <c r="F23" s="103" t="n"/>
      <c r="G23" s="102" t="n"/>
      <c r="H23" s="102" t="n"/>
      <c r="I23" s="104" t="n"/>
    </row>
    <row r="24" ht="15.75" customHeight="1" s="198">
      <c r="B24" s="101" t="inlineStr">
        <is>
          <t xml:space="preserve">     * Día</t>
        </is>
      </c>
      <c r="C24" s="102" t="n"/>
      <c r="D24" s="102" t="inlineStr">
        <is>
          <t xml:space="preserve">     * iOS, Android, Windows</t>
        </is>
      </c>
      <c r="E24" s="103" t="n"/>
      <c r="F24" s="103" t="n"/>
      <c r="G24" s="102" t="n"/>
      <c r="H24" s="102" t="n"/>
      <c r="I24" s="104" t="n"/>
    </row>
    <row r="25" ht="15.75" customHeight="1" s="198">
      <c r="B25" s="101" t="inlineStr">
        <is>
          <t xml:space="preserve">     * Horario</t>
        </is>
      </c>
      <c r="C25" s="102" t="n"/>
      <c r="D25" s="102" t="inlineStr">
        <is>
          <t xml:space="preserve">     * Table, Smartphone</t>
        </is>
      </c>
      <c r="E25" s="103" t="n"/>
      <c r="F25" s="103" t="n"/>
      <c r="G25" s="102" t="n"/>
      <c r="H25" s="102" t="n"/>
      <c r="I25" s="104" t="n"/>
    </row>
    <row r="26" ht="15.75" customHeight="1" s="198">
      <c r="B26" s="101" t="n"/>
      <c r="C26" s="102" t="n"/>
      <c r="D26" s="102" t="inlineStr">
        <is>
          <t xml:space="preserve">     * Apple, Samsung, Nokia, etc.</t>
        </is>
      </c>
      <c r="E26" s="103" t="n"/>
      <c r="F26" s="103" t="n"/>
      <c r="G26" s="102" t="n"/>
      <c r="H26" s="102" t="n"/>
      <c r="I26" s="104" t="n"/>
    </row>
    <row r="27" ht="15.75" customHeight="1" s="198">
      <c r="B27" s="105" t="inlineStr">
        <is>
          <t>Por plataforma:</t>
        </is>
      </c>
      <c r="C27" s="102" t="n"/>
      <c r="D27" s="102" t="inlineStr">
        <is>
          <t xml:space="preserve">     * Firefox, Safari, Chrome</t>
        </is>
      </c>
      <c r="E27" s="103" t="n"/>
      <c r="F27" s="103" t="n"/>
      <c r="G27" s="102" t="n"/>
      <c r="H27" s="102" t="n"/>
      <c r="I27" s="104" t="n"/>
    </row>
    <row r="28" ht="15.75" customHeight="1" s="198">
      <c r="B28" s="101" t="inlineStr">
        <is>
          <t xml:space="preserve">     * Web</t>
        </is>
      </c>
      <c r="C28" s="102" t="n"/>
      <c r="D28" s="106" t="inlineStr">
        <is>
          <t>Geografía</t>
        </is>
      </c>
      <c r="E28" s="103" t="n"/>
      <c r="F28" s="103" t="n"/>
      <c r="G28" s="102" t="n"/>
      <c r="H28" s="102" t="n"/>
      <c r="I28" s="104" t="n"/>
    </row>
    <row r="29" ht="15.75" customHeight="1" s="198">
      <c r="B29" s="101" t="inlineStr">
        <is>
          <t xml:space="preserve">     * Móvil</t>
        </is>
      </c>
      <c r="C29" s="102" t="n"/>
      <c r="D29" s="102" t="inlineStr">
        <is>
          <t xml:space="preserve">     * Geotargeting (Hasta estados)</t>
        </is>
      </c>
      <c r="E29" s="103" t="n"/>
      <c r="F29" s="103" t="n"/>
      <c r="G29" s="102" t="n"/>
      <c r="H29" s="102" t="n"/>
      <c r="I29" s="104" t="n"/>
    </row>
    <row r="30" ht="15.75" customHeight="1" s="198">
      <c r="B30" s="107" t="inlineStr">
        <is>
          <t xml:space="preserve">     * APP</t>
        </is>
      </c>
      <c r="C30" s="108" t="n"/>
      <c r="D30" s="109" t="inlineStr">
        <is>
          <t>Audiencia &amp; Retargeting</t>
        </is>
      </c>
      <c r="E30" s="110" t="n"/>
      <c r="F30" s="110" t="n"/>
      <c r="G30" s="108" t="n"/>
      <c r="H30" s="108" t="n"/>
      <c r="I30" s="111" t="n"/>
    </row>
    <row r="31" ht="15.75" customHeight="1" s="198">
      <c r="B31" s="68" t="n"/>
      <c r="C31" s="69" t="n"/>
      <c r="D31" s="69" t="n"/>
      <c r="E31" s="69" t="n"/>
      <c r="F31" s="69" t="n"/>
      <c r="G31" s="69" t="n"/>
      <c r="H31" s="69" t="n"/>
      <c r="I31" s="69" t="n"/>
    </row>
    <row r="32" ht="15.75" customHeight="1" s="198"/>
    <row r="33" ht="15.75" customHeight="1" s="198"/>
    <row r="34" ht="15.75" customHeight="1" s="198"/>
    <row r="35" ht="15.75" customHeight="1" s="198"/>
    <row r="36" ht="15.75" customHeight="1" s="198"/>
    <row r="37" ht="15.75" customHeight="1" s="198"/>
    <row r="38" ht="15.75" customHeight="1" s="198"/>
    <row r="39" ht="15.75" customHeight="1" s="198"/>
    <row r="40" ht="15.75" customHeight="1" s="198"/>
    <row r="41" ht="15.75" customHeight="1" s="198"/>
    <row r="42" ht="15.75" customHeight="1" s="198"/>
    <row r="43" ht="15.75" customHeight="1" s="198"/>
    <row r="44" ht="15.75" customHeight="1" s="198"/>
    <row r="45" ht="15.75" customHeight="1" s="198"/>
    <row r="46" ht="15.75" customHeight="1" s="198"/>
    <row r="47" ht="15.75" customHeight="1" s="198"/>
    <row r="48" ht="15.75" customHeight="1" s="198"/>
    <row r="49" ht="15.75" customHeight="1" s="198"/>
    <row r="50" ht="15.75" customHeight="1" s="198"/>
    <row r="51" ht="15.75" customHeight="1" s="198"/>
    <row r="52" ht="15.75" customHeight="1" s="198"/>
    <row r="53" ht="15.75" customHeight="1" s="198"/>
    <row r="54" ht="15.75" customHeight="1" s="198"/>
    <row r="55" ht="15.75" customHeight="1" s="198"/>
    <row r="56" ht="15.75" customHeight="1" s="198"/>
    <row r="57" ht="15.75" customHeight="1" s="198"/>
    <row r="58" ht="15.75" customHeight="1" s="198"/>
    <row r="59" ht="15.75" customHeight="1" s="198"/>
    <row r="60" ht="15.75" customHeight="1" s="198"/>
    <row r="61" ht="15.75" customHeight="1" s="198"/>
    <row r="62" ht="15.75" customHeight="1" s="198"/>
    <row r="63" ht="15.75" customHeight="1" s="198"/>
    <row r="64" ht="15.75" customHeight="1" s="198"/>
    <row r="65" ht="15.75" customHeight="1" s="198"/>
    <row r="66" ht="15.75" customHeight="1" s="198"/>
    <row r="67" ht="15.75" customHeight="1" s="198"/>
    <row r="68" ht="15.75" customHeight="1" s="198"/>
    <row r="69" ht="15.75" customHeight="1" s="198"/>
    <row r="70" ht="15.75" customHeight="1" s="198"/>
    <row r="71" ht="15.75" customHeight="1" s="198"/>
    <row r="72" ht="15.75" customHeight="1" s="198"/>
    <row r="73" ht="15.75" customHeight="1" s="198"/>
    <row r="74" ht="15.75" customHeight="1" s="198"/>
    <row r="75" ht="15.75" customHeight="1" s="198"/>
    <row r="76" ht="15.75" customHeight="1" s="198"/>
    <row r="77" ht="15.75" customHeight="1" s="198"/>
    <row r="78" ht="15.75" customHeight="1" s="198"/>
    <row r="79" ht="15.75" customHeight="1" s="198"/>
    <row r="80" ht="15.75" customHeight="1" s="198"/>
    <row r="81" ht="15.75" customHeight="1" s="198"/>
    <row r="82" ht="15.75" customHeight="1" s="198"/>
    <row r="83" ht="15.75" customHeight="1" s="198"/>
    <row r="84" ht="15.75" customHeight="1" s="198"/>
    <row r="85" ht="15.75" customHeight="1" s="198"/>
    <row r="86" ht="15.75" customHeight="1" s="198"/>
    <row r="87" ht="15.75" customHeight="1" s="198"/>
    <row r="88" ht="15.75" customHeight="1" s="198"/>
    <row r="89" ht="15.75" customHeight="1" s="198"/>
    <row r="90" ht="15.75" customHeight="1" s="198"/>
    <row r="91" ht="15.75" customHeight="1" s="198"/>
    <row r="92" ht="15.75" customHeight="1" s="198"/>
    <row r="93" ht="15.75" customHeight="1" s="198"/>
    <row r="94" ht="15.75" customHeight="1" s="198"/>
    <row r="95" ht="15.75" customHeight="1" s="198"/>
    <row r="96" ht="15.75" customHeight="1" s="198"/>
    <row r="97" ht="15.75" customHeight="1" s="198"/>
    <row r="98" ht="15.75" customHeight="1" s="198"/>
    <row r="99" ht="15.75" customHeight="1" s="198"/>
    <row r="100" ht="15.75" customHeight="1" s="198"/>
    <row r="101" ht="15.75" customHeight="1" s="198"/>
    <row r="102" ht="15.75" customHeight="1" s="198"/>
    <row r="103" ht="15.75" customHeight="1" s="198"/>
    <row r="104" ht="15.75" customHeight="1" s="198"/>
    <row r="105" ht="15.75" customHeight="1" s="198"/>
    <row r="106" ht="15.75" customHeight="1" s="198"/>
    <row r="107" ht="15.75" customHeight="1" s="198"/>
    <row r="108" ht="15.75" customHeight="1" s="198"/>
    <row r="109" ht="15.75" customHeight="1" s="198"/>
    <row r="110" ht="15.75" customHeight="1" s="198"/>
    <row r="111" ht="15.75" customHeight="1" s="198"/>
    <row r="112" ht="15.75" customHeight="1" s="198"/>
    <row r="113" ht="15.75" customHeight="1" s="198"/>
    <row r="114" ht="15.75" customHeight="1" s="198"/>
    <row r="115" ht="15.75" customHeight="1" s="198"/>
    <row r="116" ht="15.75" customHeight="1" s="198"/>
    <row r="117" ht="15.75" customHeight="1" s="198"/>
    <row r="118" ht="15.75" customHeight="1" s="198"/>
    <row r="119" ht="15.75" customHeight="1" s="198"/>
    <row r="120" ht="15.75" customHeight="1" s="198"/>
    <row r="121" ht="15.75" customHeight="1" s="198"/>
    <row r="122" ht="15.75" customHeight="1" s="198"/>
    <row r="123" ht="15.75" customHeight="1" s="198"/>
    <row r="124" ht="15.75" customHeight="1" s="198"/>
    <row r="125" ht="15.75" customHeight="1" s="198"/>
    <row r="126" ht="15.75" customHeight="1" s="198"/>
    <row r="127" ht="15.75" customHeight="1" s="198"/>
    <row r="128" ht="15.75" customHeight="1" s="198"/>
    <row r="129" ht="15.75" customHeight="1" s="198"/>
    <row r="130" ht="15.75" customHeight="1" s="198"/>
    <row r="131" ht="15.75" customHeight="1" s="198"/>
    <row r="132" ht="15.75" customHeight="1" s="198"/>
    <row r="133" ht="15.75" customHeight="1" s="198"/>
    <row r="134" ht="15.75" customHeight="1" s="198"/>
    <row r="135" ht="15.75" customHeight="1" s="198"/>
    <row r="136" ht="15.75" customHeight="1" s="198"/>
    <row r="137" ht="15.75" customHeight="1" s="198"/>
    <row r="138" ht="15.75" customHeight="1" s="198"/>
    <row r="139" ht="15.75" customHeight="1" s="198"/>
    <row r="140" ht="15.75" customHeight="1" s="198"/>
    <row r="141" ht="15.75" customHeight="1" s="198"/>
    <row r="142" ht="15.75" customHeight="1" s="198"/>
    <row r="143" ht="15.75" customHeight="1" s="198"/>
    <row r="144" ht="15.75" customHeight="1" s="198"/>
    <row r="145" ht="15.75" customHeight="1" s="198"/>
    <row r="146" ht="15.75" customHeight="1" s="198"/>
    <row r="147" ht="15.75" customHeight="1" s="198"/>
    <row r="148" ht="15.75" customHeight="1" s="198"/>
    <row r="149" ht="15.75" customHeight="1" s="198"/>
    <row r="150" ht="15.75" customHeight="1" s="198"/>
    <row r="151" ht="15.75" customHeight="1" s="198"/>
    <row r="152" ht="15.75" customHeight="1" s="198"/>
    <row r="153" ht="15.75" customHeight="1" s="198"/>
    <row r="154" ht="15.75" customHeight="1" s="198"/>
    <row r="155" ht="15.75" customHeight="1" s="198"/>
    <row r="156" ht="15.75" customHeight="1" s="198"/>
    <row r="157" ht="15.75" customHeight="1" s="198"/>
    <row r="158" ht="15.75" customHeight="1" s="198"/>
    <row r="159" ht="15.75" customHeight="1" s="198"/>
    <row r="160" ht="15.75" customHeight="1" s="198"/>
    <row r="161" ht="15.75" customHeight="1" s="198"/>
    <row r="162" ht="15.75" customHeight="1" s="198"/>
    <row r="163" ht="15.75" customHeight="1" s="198"/>
    <row r="164" ht="15.75" customHeight="1" s="198"/>
    <row r="165" ht="15.75" customHeight="1" s="198"/>
    <row r="166" ht="15.75" customHeight="1" s="198"/>
    <row r="167" ht="15.75" customHeight="1" s="198"/>
    <row r="168" ht="15.75" customHeight="1" s="198"/>
    <row r="169" ht="15.75" customHeight="1" s="198"/>
    <row r="170" ht="15.75" customHeight="1" s="198"/>
    <row r="171" ht="15.75" customHeight="1" s="198"/>
    <row r="172" ht="15.75" customHeight="1" s="198"/>
    <row r="173" ht="15.75" customHeight="1" s="198"/>
    <row r="174" ht="15.75" customHeight="1" s="198"/>
    <row r="175" ht="15.75" customHeight="1" s="198"/>
    <row r="176" ht="15.75" customHeight="1" s="198"/>
    <row r="177" ht="15.75" customHeight="1" s="198"/>
    <row r="178" ht="15.75" customHeight="1" s="198"/>
    <row r="179" ht="15.75" customHeight="1" s="198"/>
    <row r="180" ht="15.75" customHeight="1" s="198"/>
    <row r="181" ht="15.75" customHeight="1" s="198"/>
    <row r="182" ht="15.75" customHeight="1" s="198"/>
    <row r="183" ht="15.75" customHeight="1" s="198"/>
    <row r="184" ht="15.75" customHeight="1" s="198"/>
    <row r="185" ht="15.75" customHeight="1" s="198"/>
    <row r="186" ht="15.75" customHeight="1" s="198"/>
    <row r="187" ht="15.75" customHeight="1" s="198"/>
    <row r="188" ht="15.75" customHeight="1" s="198"/>
    <row r="189" ht="15.75" customHeight="1" s="198"/>
    <row r="190" ht="15.75" customHeight="1" s="198"/>
    <row r="191" ht="15.75" customHeight="1" s="198"/>
    <row r="192" ht="15.75" customHeight="1" s="198"/>
    <row r="193" ht="15.75" customHeight="1" s="198"/>
    <row r="194" ht="15.75" customHeight="1" s="198"/>
    <row r="195" ht="15.75" customHeight="1" s="198"/>
    <row r="196" ht="15.75" customHeight="1" s="198"/>
    <row r="197" ht="15.75" customHeight="1" s="198"/>
    <row r="198" ht="15.75" customHeight="1" s="198"/>
    <row r="199" ht="15.75" customHeight="1" s="198"/>
    <row r="200" ht="15.75" customHeight="1" s="198"/>
    <row r="201" ht="15.75" customHeight="1" s="198"/>
    <row r="202" ht="15.75" customHeight="1" s="198"/>
    <row r="203" ht="15.75" customHeight="1" s="198"/>
    <row r="204" ht="15.75" customHeight="1" s="198"/>
    <row r="205" ht="15.75" customHeight="1" s="198"/>
    <row r="206" ht="15.75" customHeight="1" s="198"/>
    <row r="207" ht="15.75" customHeight="1" s="198"/>
    <row r="208" ht="15.75" customHeight="1" s="198"/>
    <row r="209" ht="15.75" customHeight="1" s="198"/>
    <row r="210" ht="15.75" customHeight="1" s="198"/>
    <row r="211" ht="15.75" customHeight="1" s="198"/>
    <row r="212" ht="15.75" customHeight="1" s="198"/>
    <row r="213" ht="15.75" customHeight="1" s="198"/>
    <row r="214" ht="15.75" customHeight="1" s="198"/>
    <row r="215" ht="15.75" customHeight="1" s="198"/>
    <row r="216" ht="15.75" customHeight="1" s="198"/>
    <row r="217" ht="15.75" customHeight="1" s="198"/>
    <row r="218" ht="15.75" customHeight="1" s="198"/>
    <row r="219" ht="15.75" customHeight="1" s="198"/>
    <row r="220" ht="15.75" customHeight="1" s="198"/>
    <row r="221" ht="15.75" customHeight="1" s="198"/>
    <row r="222" ht="15.75" customHeight="1" s="198"/>
    <row r="223" ht="15.75" customHeight="1" s="198"/>
    <row r="224" ht="15.75" customHeight="1" s="198"/>
    <row r="225" ht="15.75" customHeight="1" s="198"/>
    <row r="226" ht="15.75" customHeight="1" s="198"/>
    <row r="227" ht="15.75" customHeight="1" s="198"/>
    <row r="228" ht="15.75" customHeight="1" s="198"/>
    <row r="229" ht="15.75" customHeight="1" s="198"/>
    <row r="230" ht="15.75" customHeight="1" s="198"/>
    <row r="231" ht="15.75" customHeight="1" s="198"/>
    <row r="232" ht="15.75" customHeight="1" s="198"/>
    <row r="233" ht="15.75" customHeight="1" s="198"/>
    <row r="234" ht="15.75" customHeight="1" s="198"/>
    <row r="235" ht="15.75" customHeight="1" s="198"/>
    <row r="236" ht="15.75" customHeight="1" s="198"/>
    <row r="237" ht="15.75" customHeight="1" s="198"/>
    <row r="238" ht="15.75" customHeight="1" s="198"/>
    <row r="239" ht="15.75" customHeight="1" s="198"/>
    <row r="240" ht="15.75" customHeight="1" s="198"/>
    <row r="241" ht="15.75" customHeight="1" s="198"/>
    <row r="242" ht="15.75" customHeight="1" s="198"/>
    <row r="243" ht="15.75" customHeight="1" s="198"/>
    <row r="244" ht="15.75" customHeight="1" s="198"/>
    <row r="245" ht="15.75" customHeight="1" s="198"/>
    <row r="246" ht="15.75" customHeight="1" s="198"/>
    <row r="247" ht="15.75" customHeight="1" s="198"/>
    <row r="248" ht="15.75" customHeight="1" s="198"/>
    <row r="249" ht="15.75" customHeight="1" s="198"/>
    <row r="250" ht="15.75" customHeight="1" s="198"/>
    <row r="251" ht="15.75" customHeight="1" s="198"/>
    <row r="252" ht="15.75" customHeight="1" s="198"/>
    <row r="253" ht="15.75" customHeight="1" s="198"/>
    <row r="254" ht="15.75" customHeight="1" s="198"/>
    <row r="255" ht="15.75" customHeight="1" s="198"/>
    <row r="256" ht="15.75" customHeight="1" s="198"/>
    <row r="257" ht="15.75" customHeight="1" s="198"/>
    <row r="258" ht="15.75" customHeight="1" s="198"/>
    <row r="259" ht="15.75" customHeight="1" s="198"/>
    <row r="260" ht="15.75" customHeight="1" s="198"/>
    <row r="261" ht="15.75" customHeight="1" s="198"/>
    <row r="262" ht="15.75" customHeight="1" s="198"/>
    <row r="263" ht="15.75" customHeight="1" s="198"/>
    <row r="264" ht="15.75" customHeight="1" s="198"/>
    <row r="265" ht="15.75" customHeight="1" s="198"/>
    <row r="266" ht="15.75" customHeight="1" s="198"/>
    <row r="267" ht="15.75" customHeight="1" s="198"/>
    <row r="268" ht="15.75" customHeight="1" s="198"/>
    <row r="269" ht="15.75" customHeight="1" s="198"/>
    <row r="270" ht="15.75" customHeight="1" s="198"/>
    <row r="271" ht="15.75" customHeight="1" s="198"/>
    <row r="272" ht="15.75" customHeight="1" s="198"/>
    <row r="273" ht="15.75" customHeight="1" s="198"/>
    <row r="274" ht="15.75" customHeight="1" s="198"/>
    <row r="275" ht="15.75" customHeight="1" s="198"/>
    <row r="276" ht="15.75" customHeight="1" s="198"/>
    <row r="277" ht="15.75" customHeight="1" s="198"/>
    <row r="278" ht="15.75" customHeight="1" s="198"/>
    <row r="279" ht="15.75" customHeight="1" s="198"/>
    <row r="280" ht="15.75" customHeight="1" s="198"/>
    <row r="281" ht="15.75" customHeight="1" s="198"/>
    <row r="282" ht="15.75" customHeight="1" s="198"/>
    <row r="283" ht="15.75" customHeight="1" s="198"/>
    <row r="284" ht="15.75" customHeight="1" s="198"/>
    <row r="285" ht="15.75" customHeight="1" s="198"/>
    <row r="286" ht="15.75" customHeight="1" s="198"/>
    <row r="287" ht="15.75" customHeight="1" s="198"/>
    <row r="288" ht="15.75" customHeight="1" s="198"/>
    <row r="289" ht="15.75" customHeight="1" s="198"/>
    <row r="290" ht="15.75" customHeight="1" s="198"/>
    <row r="291" ht="15.75" customHeight="1" s="198"/>
    <row r="292" ht="15.75" customHeight="1" s="198"/>
    <row r="293" ht="15.75" customHeight="1" s="198"/>
    <row r="294" ht="15.75" customHeight="1" s="198"/>
    <row r="295" ht="15.75" customHeight="1" s="198"/>
    <row r="296" ht="15.75" customHeight="1" s="198"/>
    <row r="297" ht="15.75" customHeight="1" s="198"/>
    <row r="298" ht="15.75" customHeight="1" s="198"/>
    <row r="299" ht="15.75" customHeight="1" s="198"/>
    <row r="300" ht="15.75" customHeight="1" s="198"/>
    <row r="301" ht="15.75" customHeight="1" s="198"/>
    <row r="302" ht="15.75" customHeight="1" s="198"/>
    <row r="303" ht="15.75" customHeight="1" s="198"/>
    <row r="304" ht="15.75" customHeight="1" s="198"/>
    <row r="305" ht="15.75" customHeight="1" s="198"/>
    <row r="306" ht="15.75" customHeight="1" s="198"/>
    <row r="307" ht="15.75" customHeight="1" s="198"/>
    <row r="308" ht="15.75" customHeight="1" s="198"/>
    <row r="309" ht="15.75" customHeight="1" s="198"/>
    <row r="310" ht="15.75" customHeight="1" s="198"/>
    <row r="311" ht="15.75" customHeight="1" s="198"/>
    <row r="312" ht="15.75" customHeight="1" s="198"/>
    <row r="313" ht="15.75" customHeight="1" s="198"/>
    <row r="314" ht="15.75" customHeight="1" s="198"/>
    <row r="315" ht="15.75" customHeight="1" s="198"/>
    <row r="316" ht="15.75" customHeight="1" s="198"/>
    <row r="317" ht="15.75" customHeight="1" s="198"/>
    <row r="318" ht="15.75" customHeight="1" s="198"/>
    <row r="319" ht="15.75" customHeight="1" s="198"/>
    <row r="320" ht="15.75" customHeight="1" s="198"/>
    <row r="321" ht="15.75" customHeight="1" s="198"/>
    <row r="322" ht="15.75" customHeight="1" s="198"/>
    <row r="323" ht="15.75" customHeight="1" s="198"/>
    <row r="324" ht="15.75" customHeight="1" s="198"/>
    <row r="325" ht="15.75" customHeight="1" s="198"/>
    <row r="326" ht="15.75" customHeight="1" s="198"/>
    <row r="327" ht="15.75" customHeight="1" s="198"/>
    <row r="328" ht="15.75" customHeight="1" s="198"/>
    <row r="329" ht="15.75" customHeight="1" s="198"/>
    <row r="330" ht="15.75" customHeight="1" s="198"/>
    <row r="331" ht="15.75" customHeight="1" s="198"/>
    <row r="332" ht="15.75" customHeight="1" s="198"/>
    <row r="333" ht="15.75" customHeight="1" s="198"/>
    <row r="334" ht="15.75" customHeight="1" s="198"/>
    <row r="335" ht="15.75" customHeight="1" s="198"/>
    <row r="336" ht="15.75" customHeight="1" s="198"/>
    <row r="337" ht="15.75" customHeight="1" s="198"/>
    <row r="338" ht="15.75" customHeight="1" s="198"/>
    <row r="339" ht="15.75" customHeight="1" s="198"/>
    <row r="340" ht="15.75" customHeight="1" s="198"/>
    <row r="341" ht="15.75" customHeight="1" s="198"/>
    <row r="342" ht="15.75" customHeight="1" s="198"/>
    <row r="343" ht="15.75" customHeight="1" s="198"/>
    <row r="344" ht="15.75" customHeight="1" s="198"/>
    <row r="345" ht="15.75" customHeight="1" s="198"/>
    <row r="346" ht="15.75" customHeight="1" s="198"/>
    <row r="347" ht="15.75" customHeight="1" s="198"/>
    <row r="348" ht="15.75" customHeight="1" s="198"/>
    <row r="349" ht="15.75" customHeight="1" s="198"/>
    <row r="350" ht="15.75" customHeight="1" s="198"/>
    <row r="351" ht="15.75" customHeight="1" s="198"/>
    <row r="352" ht="15.75" customHeight="1" s="198"/>
    <row r="353" ht="15.75" customHeight="1" s="198"/>
    <row r="354" ht="15.75" customHeight="1" s="198"/>
    <row r="355" ht="15.75" customHeight="1" s="198"/>
    <row r="356" ht="15.75" customHeight="1" s="198"/>
    <row r="357" ht="15.75" customHeight="1" s="198"/>
    <row r="358" ht="15.75" customHeight="1" s="198"/>
    <row r="359" ht="15.75" customHeight="1" s="198"/>
    <row r="360" ht="15.75" customHeight="1" s="198"/>
    <row r="361" ht="15.75" customHeight="1" s="198"/>
    <row r="362" ht="15.75" customHeight="1" s="198"/>
    <row r="363" ht="15.75" customHeight="1" s="198"/>
    <row r="364" ht="15.75" customHeight="1" s="198"/>
    <row r="365" ht="15.75" customHeight="1" s="198"/>
    <row r="366" ht="15.75" customHeight="1" s="198"/>
    <row r="367" ht="15.75" customHeight="1" s="198"/>
    <row r="368" ht="15.75" customHeight="1" s="198"/>
    <row r="369" ht="15.75" customHeight="1" s="198"/>
    <row r="370" ht="15.75" customHeight="1" s="198"/>
    <row r="371" ht="15.75" customHeight="1" s="198"/>
    <row r="372" ht="15.75" customHeight="1" s="198"/>
    <row r="373" ht="15.75" customHeight="1" s="198"/>
    <row r="374" ht="15.75" customHeight="1" s="198"/>
    <row r="375" ht="15.75" customHeight="1" s="198"/>
    <row r="376" ht="15.75" customHeight="1" s="198"/>
    <row r="377" ht="15.75" customHeight="1" s="198"/>
    <row r="378" ht="15.75" customHeight="1" s="198"/>
    <row r="379" ht="15.75" customHeight="1" s="198"/>
    <row r="380" ht="15.75" customHeight="1" s="198"/>
    <row r="381" ht="15.75" customHeight="1" s="198"/>
    <row r="382" ht="15.75" customHeight="1" s="198"/>
    <row r="383" ht="15.75" customHeight="1" s="198"/>
    <row r="384" ht="15.75" customHeight="1" s="198"/>
    <row r="385" ht="15.75" customHeight="1" s="198"/>
    <row r="386" ht="15.75" customHeight="1" s="198"/>
    <row r="387" ht="15.75" customHeight="1" s="198"/>
    <row r="388" ht="15.75" customHeight="1" s="198"/>
    <row r="389" ht="15.75" customHeight="1" s="198"/>
    <row r="390" ht="15.75" customHeight="1" s="198"/>
    <row r="391" ht="15.75" customHeight="1" s="198"/>
    <row r="392" ht="15.75" customHeight="1" s="198"/>
    <row r="393" ht="15.75" customHeight="1" s="198"/>
    <row r="394" ht="15.75" customHeight="1" s="198"/>
    <row r="395" ht="15.75" customHeight="1" s="198"/>
    <row r="396" ht="15.75" customHeight="1" s="198"/>
    <row r="397" ht="15.75" customHeight="1" s="198"/>
    <row r="398" ht="15.75" customHeight="1" s="198"/>
    <row r="399" ht="15.75" customHeight="1" s="198"/>
    <row r="400" ht="15.75" customHeight="1" s="198"/>
    <row r="401" ht="15.75" customHeight="1" s="198"/>
    <row r="402" ht="15.75" customHeight="1" s="198"/>
    <row r="403" ht="15.75" customHeight="1" s="198"/>
    <row r="404" ht="15.75" customHeight="1" s="198"/>
    <row r="405" ht="15.75" customHeight="1" s="198"/>
    <row r="406" ht="15.75" customHeight="1" s="198"/>
    <row r="407" ht="15.75" customHeight="1" s="198"/>
    <row r="408" ht="15.75" customHeight="1" s="198"/>
    <row r="409" ht="15.75" customHeight="1" s="198"/>
    <row r="410" ht="15.75" customHeight="1" s="198"/>
    <row r="411" ht="15.75" customHeight="1" s="198"/>
    <row r="412" ht="15.75" customHeight="1" s="198"/>
    <row r="413" ht="15.75" customHeight="1" s="198"/>
    <row r="414" ht="15.75" customHeight="1" s="198"/>
    <row r="415" ht="15.75" customHeight="1" s="198"/>
    <row r="416" ht="15.75" customHeight="1" s="198"/>
    <row r="417" ht="15.75" customHeight="1" s="198"/>
    <row r="418" ht="15.75" customHeight="1" s="198"/>
    <row r="419" ht="15.75" customHeight="1" s="198"/>
    <row r="420" ht="15.75" customHeight="1" s="198"/>
    <row r="421" ht="15.75" customHeight="1" s="198"/>
    <row r="422" ht="15.75" customHeight="1" s="198"/>
    <row r="423" ht="15.75" customHeight="1" s="198"/>
    <row r="424" ht="15.75" customHeight="1" s="198"/>
    <row r="425" ht="15.75" customHeight="1" s="198"/>
    <row r="426" ht="15.75" customHeight="1" s="198"/>
    <row r="427" ht="15.75" customHeight="1" s="198"/>
    <row r="428" ht="15.75" customHeight="1" s="198"/>
    <row r="429" ht="15.75" customHeight="1" s="198"/>
    <row r="430" ht="15.75" customHeight="1" s="198"/>
    <row r="431" ht="15.75" customHeight="1" s="198"/>
    <row r="432" ht="15.75" customHeight="1" s="198"/>
    <row r="433" ht="15.75" customHeight="1" s="198"/>
    <row r="434" ht="15.75" customHeight="1" s="198"/>
    <row r="435" ht="15.75" customHeight="1" s="198"/>
    <row r="436" ht="15.75" customHeight="1" s="198"/>
    <row r="437" ht="15.75" customHeight="1" s="198"/>
    <row r="438" ht="15.75" customHeight="1" s="198"/>
    <row r="439" ht="15.75" customHeight="1" s="198"/>
    <row r="440" ht="15.75" customHeight="1" s="198"/>
    <row r="441" ht="15.75" customHeight="1" s="198"/>
    <row r="442" ht="15.75" customHeight="1" s="198"/>
    <row r="443" ht="15.75" customHeight="1" s="198"/>
    <row r="444" ht="15.75" customHeight="1" s="198"/>
    <row r="445" ht="15.75" customHeight="1" s="198"/>
    <row r="446" ht="15.75" customHeight="1" s="198"/>
    <row r="447" ht="15.75" customHeight="1" s="198"/>
    <row r="448" ht="15.75" customHeight="1" s="198"/>
    <row r="449" ht="15.75" customHeight="1" s="198"/>
    <row r="450" ht="15.75" customHeight="1" s="198"/>
    <row r="451" ht="15.75" customHeight="1" s="198"/>
    <row r="452" ht="15.75" customHeight="1" s="198"/>
    <row r="453" ht="15.75" customHeight="1" s="198"/>
    <row r="454" ht="15.75" customHeight="1" s="198"/>
    <row r="455" ht="15.75" customHeight="1" s="198"/>
    <row r="456" ht="15.75" customHeight="1" s="198"/>
    <row r="457" ht="15.75" customHeight="1" s="198"/>
    <row r="458" ht="15.75" customHeight="1" s="198"/>
    <row r="459" ht="15.75" customHeight="1" s="198"/>
    <row r="460" ht="15.75" customHeight="1" s="198"/>
    <row r="461" ht="15.75" customHeight="1" s="198"/>
    <row r="462" ht="15.75" customHeight="1" s="198"/>
    <row r="463" ht="15.75" customHeight="1" s="198"/>
    <row r="464" ht="15.75" customHeight="1" s="198"/>
    <row r="465" ht="15.75" customHeight="1" s="198"/>
    <row r="466" ht="15.75" customHeight="1" s="198"/>
    <row r="467" ht="15.75" customHeight="1" s="198"/>
    <row r="468" ht="15.75" customHeight="1" s="198"/>
    <row r="469" ht="15.75" customHeight="1" s="198"/>
    <row r="470" ht="15.75" customHeight="1" s="198"/>
    <row r="471" ht="15.75" customHeight="1" s="198"/>
    <row r="472" ht="15.75" customHeight="1" s="198"/>
    <row r="473" ht="15.75" customHeight="1" s="198"/>
    <row r="474" ht="15.75" customHeight="1" s="198"/>
    <row r="475" ht="15.75" customHeight="1" s="198"/>
    <row r="476" ht="15.75" customHeight="1" s="198"/>
    <row r="477" ht="15.75" customHeight="1" s="198"/>
    <row r="478" ht="15.75" customHeight="1" s="198"/>
    <row r="479" ht="15.75" customHeight="1" s="198"/>
    <row r="480" ht="15.75" customHeight="1" s="198"/>
    <row r="481" ht="15.75" customHeight="1" s="198"/>
    <row r="482" ht="15.75" customHeight="1" s="198"/>
    <row r="483" ht="15.75" customHeight="1" s="198"/>
    <row r="484" ht="15.75" customHeight="1" s="198"/>
    <row r="485" ht="15.75" customHeight="1" s="198"/>
    <row r="486" ht="15.75" customHeight="1" s="198"/>
    <row r="487" ht="15.75" customHeight="1" s="198"/>
    <row r="488" ht="15.75" customHeight="1" s="198"/>
    <row r="489" ht="15.75" customHeight="1" s="198"/>
    <row r="490" ht="15.75" customHeight="1" s="198"/>
    <row r="491" ht="15.75" customHeight="1" s="198"/>
    <row r="492" ht="15.75" customHeight="1" s="198"/>
    <row r="493" ht="15.75" customHeight="1" s="198"/>
    <row r="494" ht="15.75" customHeight="1" s="198"/>
    <row r="495" ht="15.75" customHeight="1" s="198"/>
    <row r="496" ht="15.75" customHeight="1" s="198"/>
    <row r="497" ht="15.75" customHeight="1" s="198"/>
    <row r="498" ht="15.75" customHeight="1" s="198"/>
    <row r="499" ht="15.75" customHeight="1" s="198"/>
    <row r="500" ht="15.75" customHeight="1" s="198"/>
    <row r="501" ht="15.75" customHeight="1" s="198"/>
    <row r="502" ht="15.75" customHeight="1" s="198"/>
    <row r="503" ht="15.75" customHeight="1" s="198"/>
    <row r="504" ht="15.75" customHeight="1" s="198"/>
    <row r="505" ht="15.75" customHeight="1" s="198"/>
    <row r="506" ht="15.75" customHeight="1" s="198"/>
    <row r="507" ht="15.75" customHeight="1" s="198"/>
    <row r="508" ht="15.75" customHeight="1" s="198"/>
    <row r="509" ht="15.75" customHeight="1" s="198"/>
    <row r="510" ht="15.75" customHeight="1" s="198"/>
    <row r="511" ht="15.75" customHeight="1" s="198"/>
    <row r="512" ht="15.75" customHeight="1" s="198"/>
    <row r="513" ht="15.75" customHeight="1" s="198"/>
    <row r="514" ht="15.75" customHeight="1" s="198"/>
    <row r="515" ht="15.75" customHeight="1" s="198"/>
    <row r="516" ht="15.75" customHeight="1" s="198"/>
    <row r="517" ht="15.75" customHeight="1" s="198"/>
    <row r="518" ht="15.75" customHeight="1" s="198"/>
    <row r="519" ht="15.75" customHeight="1" s="198"/>
    <row r="520" ht="15.75" customHeight="1" s="198"/>
    <row r="521" ht="15.75" customHeight="1" s="198"/>
    <row r="522" ht="15.75" customHeight="1" s="198"/>
    <row r="523" ht="15.75" customHeight="1" s="198"/>
    <row r="524" ht="15.75" customHeight="1" s="198"/>
    <row r="525" ht="15.75" customHeight="1" s="198"/>
    <row r="526" ht="15.75" customHeight="1" s="198"/>
    <row r="527" ht="15.75" customHeight="1" s="198"/>
    <row r="528" ht="15.75" customHeight="1" s="198"/>
    <row r="529" ht="15.75" customHeight="1" s="198"/>
    <row r="530" ht="15.75" customHeight="1" s="198"/>
    <row r="531" ht="15.75" customHeight="1" s="198"/>
    <row r="532" ht="15.75" customHeight="1" s="198"/>
    <row r="533" ht="15.75" customHeight="1" s="198"/>
    <row r="534" ht="15.75" customHeight="1" s="198"/>
    <row r="535" ht="15.75" customHeight="1" s="198"/>
    <row r="536" ht="15.75" customHeight="1" s="198"/>
    <row r="537" ht="15.75" customHeight="1" s="198"/>
    <row r="538" ht="15.75" customHeight="1" s="198"/>
    <row r="539" ht="15.75" customHeight="1" s="198"/>
    <row r="540" ht="15.75" customHeight="1" s="198"/>
    <row r="541" ht="15.75" customHeight="1" s="198"/>
    <row r="542" ht="15.75" customHeight="1" s="198"/>
    <row r="543" ht="15.75" customHeight="1" s="198"/>
    <row r="544" ht="15.75" customHeight="1" s="198"/>
    <row r="545" ht="15.75" customHeight="1" s="198"/>
    <row r="546" ht="15.75" customHeight="1" s="198"/>
    <row r="547" ht="15.75" customHeight="1" s="198"/>
    <row r="548" ht="15.75" customHeight="1" s="198"/>
    <row r="549" ht="15.75" customHeight="1" s="198"/>
    <row r="550" ht="15.75" customHeight="1" s="198"/>
    <row r="551" ht="15.75" customHeight="1" s="198"/>
    <row r="552" ht="15.75" customHeight="1" s="198"/>
    <row r="553" ht="15.75" customHeight="1" s="198"/>
    <row r="554" ht="15.75" customHeight="1" s="198"/>
    <row r="555" ht="15.75" customHeight="1" s="198"/>
    <row r="556" ht="15.75" customHeight="1" s="198"/>
    <row r="557" ht="15.75" customHeight="1" s="198"/>
    <row r="558" ht="15.75" customHeight="1" s="198"/>
    <row r="559" ht="15.75" customHeight="1" s="198"/>
    <row r="560" ht="15.75" customHeight="1" s="198"/>
    <row r="561" ht="15.75" customHeight="1" s="198"/>
    <row r="562" ht="15.75" customHeight="1" s="198"/>
    <row r="563" ht="15.75" customHeight="1" s="198"/>
    <row r="564" ht="15.75" customHeight="1" s="198"/>
    <row r="565" ht="15.75" customHeight="1" s="198"/>
    <row r="566" ht="15.75" customHeight="1" s="198"/>
    <row r="567" ht="15.75" customHeight="1" s="198"/>
    <row r="568" ht="15.75" customHeight="1" s="198"/>
    <row r="569" ht="15.75" customHeight="1" s="198"/>
    <row r="570" ht="15.75" customHeight="1" s="198"/>
    <row r="571" ht="15.75" customHeight="1" s="198"/>
    <row r="572" ht="15.75" customHeight="1" s="198"/>
    <row r="573" ht="15.75" customHeight="1" s="198"/>
    <row r="574" ht="15.75" customHeight="1" s="198"/>
    <row r="575" ht="15.75" customHeight="1" s="198"/>
    <row r="576" ht="15.75" customHeight="1" s="198"/>
    <row r="577" ht="15.75" customHeight="1" s="198"/>
    <row r="578" ht="15.75" customHeight="1" s="198"/>
    <row r="579" ht="15.75" customHeight="1" s="198"/>
    <row r="580" ht="15.75" customHeight="1" s="198"/>
    <row r="581" ht="15.75" customHeight="1" s="198"/>
    <row r="582" ht="15.75" customHeight="1" s="198"/>
    <row r="583" ht="15.75" customHeight="1" s="198"/>
    <row r="584" ht="15.75" customHeight="1" s="198"/>
    <row r="585" ht="15.75" customHeight="1" s="198"/>
    <row r="586" ht="15.75" customHeight="1" s="198"/>
    <row r="587" ht="15.75" customHeight="1" s="198"/>
    <row r="588" ht="15.75" customHeight="1" s="198"/>
    <row r="589" ht="15.75" customHeight="1" s="198"/>
    <row r="590" ht="15.75" customHeight="1" s="198"/>
    <row r="591" ht="15.75" customHeight="1" s="198"/>
    <row r="592" ht="15.75" customHeight="1" s="198"/>
    <row r="593" ht="15.75" customHeight="1" s="198"/>
    <row r="594" ht="15.75" customHeight="1" s="198"/>
    <row r="595" ht="15.75" customHeight="1" s="198"/>
    <row r="596" ht="15.75" customHeight="1" s="198"/>
    <row r="597" ht="15.75" customHeight="1" s="198"/>
    <row r="598" ht="15.75" customHeight="1" s="198"/>
    <row r="599" ht="15.75" customHeight="1" s="198"/>
    <row r="600" ht="15.75" customHeight="1" s="198"/>
    <row r="601" ht="15.75" customHeight="1" s="198"/>
    <row r="602" ht="15.75" customHeight="1" s="198"/>
    <row r="603" ht="15.75" customHeight="1" s="198"/>
    <row r="604" ht="15.75" customHeight="1" s="198"/>
    <row r="605" ht="15.75" customHeight="1" s="198"/>
    <row r="606" ht="15.75" customHeight="1" s="198"/>
    <row r="607" ht="15.75" customHeight="1" s="198"/>
    <row r="608" ht="15.75" customHeight="1" s="198"/>
    <row r="609" ht="15.75" customHeight="1" s="198"/>
    <row r="610" ht="15.75" customHeight="1" s="198"/>
    <row r="611" ht="15.75" customHeight="1" s="198"/>
    <row r="612" ht="15.75" customHeight="1" s="198"/>
    <row r="613" ht="15.75" customHeight="1" s="198"/>
    <row r="614" ht="15.75" customHeight="1" s="198"/>
    <row r="615" ht="15.75" customHeight="1" s="198"/>
    <row r="616" ht="15.75" customHeight="1" s="198"/>
    <row r="617" ht="15.75" customHeight="1" s="198"/>
    <row r="618" ht="15.75" customHeight="1" s="198"/>
    <row r="619" ht="15.75" customHeight="1" s="198"/>
    <row r="620" ht="15.75" customHeight="1" s="198"/>
    <row r="621" ht="15.75" customHeight="1" s="198"/>
    <row r="622" ht="15.75" customHeight="1" s="198"/>
    <row r="623" ht="15.75" customHeight="1" s="198"/>
    <row r="624" ht="15.75" customHeight="1" s="198"/>
    <row r="625" ht="15.75" customHeight="1" s="198"/>
    <row r="626" ht="15.75" customHeight="1" s="198"/>
    <row r="627" ht="15.75" customHeight="1" s="198"/>
    <row r="628" ht="15.75" customHeight="1" s="198"/>
    <row r="629" ht="15.75" customHeight="1" s="198"/>
    <row r="630" ht="15.75" customHeight="1" s="198"/>
    <row r="631" ht="15.75" customHeight="1" s="198"/>
    <row r="632" ht="15.75" customHeight="1" s="198"/>
    <row r="633" ht="15.75" customHeight="1" s="198"/>
    <row r="634" ht="15.75" customHeight="1" s="198"/>
    <row r="635" ht="15.75" customHeight="1" s="198"/>
    <row r="636" ht="15.75" customHeight="1" s="198"/>
    <row r="637" ht="15.75" customHeight="1" s="198"/>
    <row r="638" ht="15.75" customHeight="1" s="198"/>
    <row r="639" ht="15.75" customHeight="1" s="198"/>
    <row r="640" ht="15.75" customHeight="1" s="198"/>
    <row r="641" ht="15.75" customHeight="1" s="198"/>
    <row r="642" ht="15.75" customHeight="1" s="198"/>
    <row r="643" ht="15.75" customHeight="1" s="198"/>
    <row r="644" ht="15.75" customHeight="1" s="198"/>
    <row r="645" ht="15.75" customHeight="1" s="198"/>
    <row r="646" ht="15.75" customHeight="1" s="198"/>
    <row r="647" ht="15.75" customHeight="1" s="198"/>
    <row r="648" ht="15.75" customHeight="1" s="198"/>
    <row r="649" ht="15.75" customHeight="1" s="198"/>
    <row r="650" ht="15.75" customHeight="1" s="198"/>
    <row r="651" ht="15.75" customHeight="1" s="198"/>
    <row r="652" ht="15.75" customHeight="1" s="198"/>
    <row r="653" ht="15.75" customHeight="1" s="198"/>
    <row r="654" ht="15.75" customHeight="1" s="198"/>
    <row r="655" ht="15.75" customHeight="1" s="198"/>
    <row r="656" ht="15.75" customHeight="1" s="198"/>
    <row r="657" ht="15.75" customHeight="1" s="198"/>
    <row r="658" ht="15.75" customHeight="1" s="198"/>
    <row r="659" ht="15.75" customHeight="1" s="198"/>
    <row r="660" ht="15.75" customHeight="1" s="198"/>
    <row r="661" ht="15.75" customHeight="1" s="198"/>
    <row r="662" ht="15.75" customHeight="1" s="198"/>
    <row r="663" ht="15.75" customHeight="1" s="198"/>
    <row r="664" ht="15.75" customHeight="1" s="198"/>
    <row r="665" ht="15.75" customHeight="1" s="198"/>
    <row r="666" ht="15.75" customHeight="1" s="198"/>
    <row r="667" ht="15.75" customHeight="1" s="198"/>
    <row r="668" ht="15.75" customHeight="1" s="198"/>
    <row r="669" ht="15.75" customHeight="1" s="198"/>
    <row r="670" ht="15.75" customHeight="1" s="198"/>
    <row r="671" ht="15.75" customHeight="1" s="198"/>
    <row r="672" ht="15.75" customHeight="1" s="198"/>
    <row r="673" ht="15.75" customHeight="1" s="198"/>
    <row r="674" ht="15.75" customHeight="1" s="198"/>
    <row r="675" ht="15.75" customHeight="1" s="198"/>
    <row r="676" ht="15.75" customHeight="1" s="198"/>
    <row r="677" ht="15.75" customHeight="1" s="198"/>
    <row r="678" ht="15.75" customHeight="1" s="198"/>
    <row r="679" ht="15.75" customHeight="1" s="198"/>
    <row r="680" ht="15.75" customHeight="1" s="198"/>
    <row r="681" ht="15.75" customHeight="1" s="198"/>
    <row r="682" ht="15.75" customHeight="1" s="198"/>
    <row r="683" ht="15.75" customHeight="1" s="198"/>
    <row r="684" ht="15.75" customHeight="1" s="198"/>
    <row r="685" ht="15.75" customHeight="1" s="198"/>
    <row r="686" ht="15.75" customHeight="1" s="198"/>
    <row r="687" ht="15.75" customHeight="1" s="198"/>
    <row r="688" ht="15.75" customHeight="1" s="198"/>
    <row r="689" ht="15.75" customHeight="1" s="198"/>
    <row r="690" ht="15.75" customHeight="1" s="198"/>
    <row r="691" ht="15.75" customHeight="1" s="198"/>
    <row r="692" ht="15.75" customHeight="1" s="198"/>
    <row r="693" ht="15.75" customHeight="1" s="198"/>
    <row r="694" ht="15.75" customHeight="1" s="198"/>
    <row r="695" ht="15.75" customHeight="1" s="198"/>
    <row r="696" ht="15.75" customHeight="1" s="198"/>
    <row r="697" ht="15.75" customHeight="1" s="198"/>
    <row r="698" ht="15.75" customHeight="1" s="198"/>
    <row r="699" ht="15.75" customHeight="1" s="198"/>
    <row r="700" ht="15.75" customHeight="1" s="198"/>
    <row r="701" ht="15.75" customHeight="1" s="198"/>
    <row r="702" ht="15.75" customHeight="1" s="198"/>
    <row r="703" ht="15.75" customHeight="1" s="198"/>
    <row r="704" ht="15.75" customHeight="1" s="198"/>
    <row r="705" ht="15.75" customHeight="1" s="198"/>
    <row r="706" ht="15.75" customHeight="1" s="198"/>
    <row r="707" ht="15.75" customHeight="1" s="198"/>
    <row r="708" ht="15.75" customHeight="1" s="198"/>
    <row r="709" ht="15.75" customHeight="1" s="198"/>
    <row r="710" ht="15.75" customHeight="1" s="198"/>
    <row r="711" ht="15.75" customHeight="1" s="198"/>
    <row r="712" ht="15.75" customHeight="1" s="198"/>
    <row r="713" ht="15.75" customHeight="1" s="198"/>
    <row r="714" ht="15.75" customHeight="1" s="198"/>
    <row r="715" ht="15.75" customHeight="1" s="198"/>
    <row r="716" ht="15.75" customHeight="1" s="198"/>
    <row r="717" ht="15.75" customHeight="1" s="198"/>
    <row r="718" ht="15.75" customHeight="1" s="198"/>
    <row r="719" ht="15.75" customHeight="1" s="198"/>
    <row r="720" ht="15.75" customHeight="1" s="198"/>
    <row r="721" ht="15.75" customHeight="1" s="198"/>
    <row r="722" ht="15.75" customHeight="1" s="198"/>
    <row r="723" ht="15.75" customHeight="1" s="198"/>
    <row r="724" ht="15.75" customHeight="1" s="198"/>
    <row r="725" ht="15.75" customHeight="1" s="198"/>
    <row r="726" ht="15.75" customHeight="1" s="198"/>
    <row r="727" ht="15.75" customHeight="1" s="198"/>
    <row r="728" ht="15.75" customHeight="1" s="198"/>
    <row r="729" ht="15.75" customHeight="1" s="198"/>
    <row r="730" ht="15.75" customHeight="1" s="198"/>
    <row r="731" ht="15.75" customHeight="1" s="198"/>
    <row r="732" ht="15.75" customHeight="1" s="198"/>
    <row r="733" ht="15.75" customHeight="1" s="198"/>
    <row r="734" ht="15.75" customHeight="1" s="198"/>
    <row r="735" ht="15.75" customHeight="1" s="198"/>
    <row r="736" ht="15.75" customHeight="1" s="198"/>
    <row r="737" ht="15.75" customHeight="1" s="198"/>
    <row r="738" ht="15.75" customHeight="1" s="198"/>
    <row r="739" ht="15.75" customHeight="1" s="198"/>
    <row r="740" ht="15.75" customHeight="1" s="198"/>
    <row r="741" ht="15.75" customHeight="1" s="198"/>
    <row r="742" ht="15.75" customHeight="1" s="198"/>
    <row r="743" ht="15.75" customHeight="1" s="198"/>
    <row r="744" ht="15.75" customHeight="1" s="198"/>
    <row r="745" ht="15.75" customHeight="1" s="198"/>
    <row r="746" ht="15.75" customHeight="1" s="198"/>
    <row r="747" ht="15.75" customHeight="1" s="198"/>
    <row r="748" ht="15.75" customHeight="1" s="198"/>
    <row r="749" ht="15.75" customHeight="1" s="198"/>
    <row r="750" ht="15.75" customHeight="1" s="198"/>
    <row r="751" ht="15.75" customHeight="1" s="198"/>
    <row r="752" ht="15.75" customHeight="1" s="198"/>
    <row r="753" ht="15.75" customHeight="1" s="198"/>
    <row r="754" ht="15.75" customHeight="1" s="198"/>
    <row r="755" ht="15.75" customHeight="1" s="198"/>
    <row r="756" ht="15.75" customHeight="1" s="198"/>
    <row r="757" ht="15.75" customHeight="1" s="198"/>
    <row r="758" ht="15.75" customHeight="1" s="198"/>
    <row r="759" ht="15.75" customHeight="1" s="198"/>
    <row r="760" ht="15.75" customHeight="1" s="198"/>
    <row r="761" ht="15.75" customHeight="1" s="198"/>
    <row r="762" ht="15.75" customHeight="1" s="198"/>
    <row r="763" ht="15.75" customHeight="1" s="198"/>
    <row r="764" ht="15.75" customHeight="1" s="198"/>
    <row r="765" ht="15.75" customHeight="1" s="198"/>
    <row r="766" ht="15.75" customHeight="1" s="198"/>
    <row r="767" ht="15.75" customHeight="1" s="198"/>
    <row r="768" ht="15.75" customHeight="1" s="198"/>
    <row r="769" ht="15.75" customHeight="1" s="198"/>
    <row r="770" ht="15.75" customHeight="1" s="198"/>
    <row r="771" ht="15.75" customHeight="1" s="198"/>
    <row r="772" ht="15.75" customHeight="1" s="198"/>
    <row r="773" ht="15.75" customHeight="1" s="198"/>
    <row r="774" ht="15.75" customHeight="1" s="198"/>
    <row r="775" ht="15.75" customHeight="1" s="198"/>
    <row r="776" ht="15.75" customHeight="1" s="198"/>
    <row r="777" ht="15.75" customHeight="1" s="198"/>
    <row r="778" ht="15.75" customHeight="1" s="198"/>
    <row r="779" ht="15.75" customHeight="1" s="198"/>
    <row r="780" ht="15.75" customHeight="1" s="198"/>
    <row r="781" ht="15.75" customHeight="1" s="198"/>
    <row r="782" ht="15.75" customHeight="1" s="198"/>
    <row r="783" ht="15.75" customHeight="1" s="198"/>
    <row r="784" ht="15.75" customHeight="1" s="198"/>
    <row r="785" ht="15.75" customHeight="1" s="198"/>
    <row r="786" ht="15.75" customHeight="1" s="198"/>
    <row r="787" ht="15.75" customHeight="1" s="198"/>
    <row r="788" ht="15.75" customHeight="1" s="198"/>
    <row r="789" ht="15.75" customHeight="1" s="198"/>
    <row r="790" ht="15.75" customHeight="1" s="198"/>
    <row r="791" ht="15.75" customHeight="1" s="198"/>
    <row r="792" ht="15.75" customHeight="1" s="198"/>
    <row r="793" ht="15.75" customHeight="1" s="198"/>
    <row r="794" ht="15.75" customHeight="1" s="198"/>
    <row r="795" ht="15.75" customHeight="1" s="198"/>
    <row r="796" ht="15.75" customHeight="1" s="198"/>
    <row r="797" ht="15.75" customHeight="1" s="198"/>
    <row r="798" ht="15.75" customHeight="1" s="198"/>
    <row r="799" ht="15.75" customHeight="1" s="198"/>
    <row r="800" ht="15.75" customHeight="1" s="198"/>
    <row r="801" ht="15.75" customHeight="1" s="198"/>
    <row r="802" ht="15.75" customHeight="1" s="198"/>
    <row r="803" ht="15.75" customHeight="1" s="198"/>
    <row r="804" ht="15.75" customHeight="1" s="198"/>
    <row r="805" ht="15.75" customHeight="1" s="198"/>
    <row r="806" ht="15.75" customHeight="1" s="198"/>
    <row r="807" ht="15.75" customHeight="1" s="198"/>
    <row r="808" ht="15.75" customHeight="1" s="198"/>
    <row r="809" ht="15.75" customHeight="1" s="198"/>
    <row r="810" ht="15.75" customHeight="1" s="198"/>
    <row r="811" ht="15.75" customHeight="1" s="198"/>
    <row r="812" ht="15.75" customHeight="1" s="198"/>
    <row r="813" ht="15.75" customHeight="1" s="198"/>
    <row r="814" ht="15.75" customHeight="1" s="198"/>
    <row r="815" ht="15.75" customHeight="1" s="198"/>
    <row r="816" ht="15.75" customHeight="1" s="198"/>
    <row r="817" ht="15.75" customHeight="1" s="198"/>
    <row r="818" ht="15.75" customHeight="1" s="198"/>
    <row r="819" ht="15.75" customHeight="1" s="198"/>
    <row r="820" ht="15.75" customHeight="1" s="198"/>
    <row r="821" ht="15.75" customHeight="1" s="198"/>
    <row r="822" ht="15.75" customHeight="1" s="198"/>
    <row r="823" ht="15.75" customHeight="1" s="198"/>
    <row r="824" ht="15.75" customHeight="1" s="198"/>
    <row r="825" ht="15.75" customHeight="1" s="198"/>
    <row r="826" ht="15.75" customHeight="1" s="198"/>
    <row r="827" ht="15.75" customHeight="1" s="198"/>
    <row r="828" ht="15.75" customHeight="1" s="198"/>
    <row r="829" ht="15.75" customHeight="1" s="198"/>
    <row r="830" ht="15.75" customHeight="1" s="198"/>
    <row r="831" ht="15.75" customHeight="1" s="198"/>
    <row r="832" ht="15.75" customHeight="1" s="198"/>
    <row r="833" ht="15.75" customHeight="1" s="198"/>
    <row r="834" ht="15.75" customHeight="1" s="198"/>
    <row r="835" ht="15.75" customHeight="1" s="198"/>
    <row r="836" ht="15.75" customHeight="1" s="198"/>
    <row r="837" ht="15.75" customHeight="1" s="198"/>
    <row r="838" ht="15.75" customHeight="1" s="198"/>
    <row r="839" ht="15.75" customHeight="1" s="198"/>
    <row r="840" ht="15.75" customHeight="1" s="198"/>
    <row r="841" ht="15.75" customHeight="1" s="198"/>
    <row r="842" ht="15.75" customHeight="1" s="198"/>
    <row r="843" ht="15.75" customHeight="1" s="198"/>
    <row r="844" ht="15.75" customHeight="1" s="198"/>
    <row r="845" ht="15.75" customHeight="1" s="198"/>
    <row r="846" ht="15.75" customHeight="1" s="198"/>
    <row r="847" ht="15.75" customHeight="1" s="198"/>
    <row r="848" ht="15.75" customHeight="1" s="198"/>
    <row r="849" ht="15.75" customHeight="1" s="198"/>
    <row r="850" ht="15.75" customHeight="1" s="198"/>
    <row r="851" ht="15.75" customHeight="1" s="198"/>
    <row r="852" ht="15.75" customHeight="1" s="198"/>
    <row r="853" ht="15.75" customHeight="1" s="198"/>
    <row r="854" ht="15.75" customHeight="1" s="198"/>
    <row r="855" ht="15.75" customHeight="1" s="198"/>
    <row r="856" ht="15.75" customHeight="1" s="198"/>
    <row r="857" ht="15.75" customHeight="1" s="198"/>
    <row r="858" ht="15.75" customHeight="1" s="198"/>
    <row r="859" ht="15.75" customHeight="1" s="198"/>
    <row r="860" ht="15.75" customHeight="1" s="198"/>
    <row r="861" ht="15.75" customHeight="1" s="198"/>
    <row r="862" ht="15.75" customHeight="1" s="198"/>
    <row r="863" ht="15.75" customHeight="1" s="198"/>
    <row r="864" ht="15.75" customHeight="1" s="198"/>
    <row r="865" ht="15.75" customHeight="1" s="198"/>
    <row r="866" ht="15.75" customHeight="1" s="198"/>
    <row r="867" ht="15.75" customHeight="1" s="198"/>
    <row r="868" ht="15.75" customHeight="1" s="198"/>
    <row r="869" ht="15.75" customHeight="1" s="198"/>
    <row r="870" ht="15.75" customHeight="1" s="198"/>
    <row r="871" ht="15.75" customHeight="1" s="198"/>
    <row r="872" ht="15.75" customHeight="1" s="198"/>
    <row r="873" ht="15.75" customHeight="1" s="198"/>
    <row r="874" ht="15.75" customHeight="1" s="198"/>
    <row r="875" ht="15.75" customHeight="1" s="198"/>
    <row r="876" ht="15.75" customHeight="1" s="198"/>
    <row r="877" ht="15.75" customHeight="1" s="198"/>
    <row r="878" ht="15.75" customHeight="1" s="198"/>
    <row r="879" ht="15.75" customHeight="1" s="198"/>
    <row r="880" ht="15.75" customHeight="1" s="198"/>
    <row r="881" ht="15.75" customHeight="1" s="198"/>
    <row r="882" ht="15.75" customHeight="1" s="198"/>
    <row r="883" ht="15.75" customHeight="1" s="198"/>
    <row r="884" ht="15.75" customHeight="1" s="198"/>
    <row r="885" ht="15.75" customHeight="1" s="198"/>
    <row r="886" ht="15.75" customHeight="1" s="198"/>
    <row r="887" ht="15.75" customHeight="1" s="198"/>
    <row r="888" ht="15.75" customHeight="1" s="198"/>
    <row r="889" ht="15.75" customHeight="1" s="198"/>
    <row r="890" ht="15.75" customHeight="1" s="198"/>
    <row r="891" ht="15.75" customHeight="1" s="198"/>
    <row r="892" ht="15.75" customHeight="1" s="198"/>
    <row r="893" ht="15.75" customHeight="1" s="198"/>
    <row r="894" ht="15.75" customHeight="1" s="198"/>
    <row r="895" ht="15.75" customHeight="1" s="198"/>
    <row r="896" ht="15.75" customHeight="1" s="198"/>
    <row r="897" ht="15.75" customHeight="1" s="198"/>
    <row r="898" ht="15.75" customHeight="1" s="198"/>
    <row r="899" ht="15.75" customHeight="1" s="198"/>
    <row r="900" ht="15.75" customHeight="1" s="198"/>
    <row r="901" ht="15.75" customHeight="1" s="198"/>
    <row r="902" ht="15.75" customHeight="1" s="198"/>
    <row r="903" ht="15.75" customHeight="1" s="198"/>
    <row r="904" ht="15.75" customHeight="1" s="198"/>
    <row r="905" ht="15.75" customHeight="1" s="198"/>
    <row r="906" ht="15.75" customHeight="1" s="198"/>
    <row r="907" ht="15.75" customHeight="1" s="198"/>
    <row r="908" ht="15.75" customHeight="1" s="198"/>
    <row r="909" ht="15.75" customHeight="1" s="198"/>
    <row r="910" ht="15.75" customHeight="1" s="198"/>
    <row r="911" ht="15.75" customHeight="1" s="198"/>
    <row r="912" ht="15.75" customHeight="1" s="198"/>
    <row r="913" ht="15.75" customHeight="1" s="198"/>
    <row r="914" ht="15.75" customHeight="1" s="198"/>
    <row r="915" ht="15.75" customHeight="1" s="198"/>
    <row r="916" ht="15.75" customHeight="1" s="198"/>
    <row r="917" ht="15.75" customHeight="1" s="198"/>
    <row r="918" ht="15.75" customHeight="1" s="198"/>
    <row r="919" ht="15.75" customHeight="1" s="198"/>
    <row r="920" ht="15.75" customHeight="1" s="198"/>
    <row r="921" ht="15.75" customHeight="1" s="198"/>
    <row r="922" ht="15.75" customHeight="1" s="198"/>
    <row r="923" ht="15.75" customHeight="1" s="198"/>
    <row r="924" ht="15.75" customHeight="1" s="198"/>
    <row r="925" ht="15.75" customHeight="1" s="198"/>
    <row r="926" ht="15.75" customHeight="1" s="198"/>
    <row r="927" ht="15.75" customHeight="1" s="198"/>
    <row r="928" ht="15.75" customHeight="1" s="198"/>
    <row r="929" ht="15.75" customHeight="1" s="198"/>
    <row r="930" ht="15.75" customHeight="1" s="198"/>
    <row r="931" ht="15.75" customHeight="1" s="198"/>
    <row r="932" ht="15.75" customHeight="1" s="198"/>
    <row r="933" ht="15.75" customHeight="1" s="198"/>
    <row r="934" ht="15.75" customHeight="1" s="198"/>
    <row r="935" ht="15.75" customHeight="1" s="198"/>
    <row r="936" ht="15.75" customHeight="1" s="198"/>
    <row r="937" ht="15.75" customHeight="1" s="198"/>
    <row r="938" ht="15.75" customHeight="1" s="198"/>
    <row r="939" ht="15.75" customHeight="1" s="198"/>
    <row r="940" ht="15.75" customHeight="1" s="198"/>
    <row r="941" ht="15.75" customHeight="1" s="198"/>
    <row r="942" ht="15.75" customHeight="1" s="198"/>
    <row r="943" ht="15.75" customHeight="1" s="198"/>
    <row r="944" ht="15.75" customHeight="1" s="198"/>
    <row r="945" ht="15.75" customHeight="1" s="198"/>
    <row r="946" ht="15.75" customHeight="1" s="198"/>
    <row r="947" ht="15.75" customHeight="1" s="198"/>
    <row r="948" ht="15.75" customHeight="1" s="198"/>
    <row r="949" ht="15.75" customHeight="1" s="198"/>
    <row r="950" ht="15.75" customHeight="1" s="198"/>
    <row r="951" ht="15.75" customHeight="1" s="198"/>
    <row r="952" ht="15.75" customHeight="1" s="198"/>
    <row r="953" ht="15.75" customHeight="1" s="198"/>
    <row r="954" ht="15.75" customHeight="1" s="198"/>
    <row r="955" ht="15.75" customHeight="1" s="198"/>
    <row r="956" ht="15.75" customHeight="1" s="198"/>
    <row r="957" ht="15.75" customHeight="1" s="198"/>
    <row r="958" ht="15.75" customHeight="1" s="198"/>
    <row r="959" ht="15.75" customHeight="1" s="198"/>
    <row r="960" ht="15.75" customHeight="1" s="198"/>
    <row r="961" ht="15.75" customHeight="1" s="198"/>
    <row r="962" ht="15.75" customHeight="1" s="198"/>
    <row r="963" ht="15.75" customHeight="1" s="198"/>
    <row r="964" ht="15.75" customHeight="1" s="198"/>
    <row r="965" ht="15.75" customHeight="1" s="198"/>
    <row r="966" ht="15.75" customHeight="1" s="198"/>
    <row r="967" ht="15.75" customHeight="1" s="198"/>
    <row r="968" ht="15.75" customHeight="1" s="198"/>
    <row r="969" ht="15.75" customHeight="1" s="198"/>
    <row r="970" ht="15.75" customHeight="1" s="198"/>
    <row r="971" ht="15.75" customHeight="1" s="198"/>
    <row r="972" ht="15.75" customHeight="1" s="198"/>
    <row r="973" ht="15.75" customHeight="1" s="198"/>
    <row r="974" ht="15.75" customHeight="1" s="198"/>
    <row r="975" ht="15.75" customHeight="1" s="198"/>
    <row r="976" ht="15.75" customHeight="1" s="198"/>
    <row r="977" ht="15.75" customHeight="1" s="198"/>
    <row r="978" ht="15.75" customHeight="1" s="198"/>
    <row r="979" ht="15.75" customHeight="1" s="198"/>
    <row r="980" ht="15.75" customHeight="1" s="198"/>
    <row r="981" ht="15.75" customHeight="1" s="198"/>
    <row r="982" ht="15.75" customHeight="1" s="198"/>
    <row r="983" ht="15.75" customHeight="1" s="198"/>
    <row r="984" ht="15.75" customHeight="1" s="198"/>
    <row r="985" ht="15.75" customHeight="1" s="198"/>
    <row r="986" ht="15.75" customHeight="1" s="198"/>
    <row r="987" ht="15.75" customHeight="1" s="198"/>
    <row r="988" ht="15.75" customHeight="1" s="198"/>
    <row r="989" ht="15.75" customHeight="1" s="198"/>
    <row r="990" ht="15.75" customHeight="1" s="198"/>
    <row r="991" ht="15.75" customHeight="1" s="198"/>
    <row r="992" ht="15.75" customHeight="1" s="198"/>
    <row r="993" ht="15.75" customHeight="1" s="198"/>
    <row r="994" ht="15.75" customHeight="1" s="198"/>
    <row r="995" ht="15.75" customHeight="1" s="198"/>
    <row r="996" ht="15.75" customHeight="1" s="198"/>
    <row r="997" ht="15.75" customHeight="1" s="198"/>
    <row r="998" ht="15.75" customHeight="1" s="198"/>
    <row r="999" ht="15.75" customHeight="1" s="198"/>
    <row r="1000" ht="15.75" customHeight="1" s="198"/>
    <row r="1001" ht="15.75" customHeight="1" s="198"/>
    <row r="1002" ht="15.75" customHeight="1" s="198"/>
    <row r="1003" ht="15.75" customHeight="1" s="198"/>
  </sheetData>
  <mergeCells count="1">
    <mergeCell ref="B19:I19"/>
  </mergeCells>
  <pageMargins left="0.7" right="0.7" top="0.75" bottom="0.75" header="0" footer="0"/>
  <pageSetup orientation="landscape"/>
</worksheet>
</file>

<file path=xl/worksheets/sheet4.xml><?xml version="1.0" encoding="utf-8"?>
<worksheet xmlns="http://schemas.openxmlformats.org/spreadsheetml/2006/main">
  <sheetPr>
    <tabColor rgb="FF7C1233"/>
    <outlinePr summaryBelow="1" summaryRight="1"/>
    <pageSetUpPr/>
  </sheetPr>
  <dimension ref="A1:P69"/>
  <sheetViews>
    <sheetView showGridLines="0" workbookViewId="0">
      <pane xSplit="2" topLeftCell="C1" activePane="topRight" state="frozen"/>
      <selection pane="topRight" activeCell="D2" sqref="D2"/>
    </sheetView>
  </sheetViews>
  <sheetFormatPr baseColWidth="10" defaultColWidth="14.3984375" defaultRowHeight="15" customHeight="1"/>
  <cols>
    <col width="3.59765625" customWidth="1" style="198" min="1" max="1"/>
    <col width="23.19921875" customWidth="1" style="198" min="2" max="4"/>
    <col width="24.19921875" customWidth="1" style="198" min="5" max="5"/>
    <col width="25.796875" customWidth="1" style="198" min="6" max="6"/>
    <col width="23.19921875" customWidth="1" style="198" min="7" max="8"/>
    <col width="39.19921875" customWidth="1" style="198" min="9" max="9"/>
    <col width="23.19921875" customWidth="1" style="198" min="10" max="10"/>
    <col hidden="1" width="22.19921875" customWidth="1" style="198" min="11" max="11"/>
    <col width="21.19921875" customWidth="1" style="198" min="12" max="12"/>
    <col width="30.19921875" customWidth="1" style="198" min="13" max="16"/>
  </cols>
  <sheetData>
    <row r="1" ht="14" customHeight="1" s="198">
      <c r="A1" s="123" t="n"/>
      <c r="B1" s="124" t="n"/>
      <c r="C1" s="124" t="n"/>
      <c r="D1" s="124" t="n"/>
      <c r="E1" s="124" t="n"/>
      <c r="F1" s="124" t="n"/>
      <c r="G1" s="124" t="n"/>
      <c r="H1" s="124" t="n"/>
    </row>
    <row r="2" ht="16" customHeight="1" s="198">
      <c r="A2" s="124" t="n"/>
      <c r="B2" s="134" t="inlineStr">
        <is>
          <t>Specs Televisa Ads</t>
        </is>
      </c>
      <c r="C2" s="124" t="n"/>
      <c r="D2" s="124" t="n"/>
      <c r="E2" s="126" t="n"/>
      <c r="F2" s="124" t="n"/>
      <c r="G2" s="124" t="n"/>
      <c r="H2" s="124" t="n"/>
    </row>
    <row r="3" ht="14" customHeight="1" s="198">
      <c r="A3" s="124" t="n"/>
      <c r="B3" s="135" t="inlineStr">
        <is>
          <t>Última actualización: 25 de Septiembre 2023</t>
        </is>
      </c>
      <c r="C3" s="124" t="n"/>
      <c r="D3" s="124" t="n"/>
      <c r="E3" s="124" t="n"/>
      <c r="F3" s="124" t="n"/>
      <c r="G3" s="124" t="n"/>
      <c r="H3" s="124" t="n"/>
    </row>
    <row r="4" ht="14" customHeight="1" s="198">
      <c r="A4" s="127" t="n"/>
      <c r="B4" s="127" t="n"/>
      <c r="C4" s="127" t="n"/>
      <c r="D4" s="127" t="n"/>
      <c r="E4" s="127" t="n"/>
      <c r="F4" s="127" t="n"/>
    </row>
    <row r="5" ht="41.25" customHeight="1" s="198">
      <c r="A5" s="127" t="n"/>
      <c r="B5" s="262" t="inlineStr">
        <is>
          <t>PRODUCT</t>
        </is>
      </c>
      <c r="C5" s="263" t="inlineStr">
        <is>
          <t>VIDEO IN STREAM</t>
        </is>
      </c>
      <c r="D5" s="264" t="n"/>
      <c r="E5" s="264" t="n"/>
      <c r="F5" s="265" t="n"/>
      <c r="G5" s="266" t="inlineStr">
        <is>
          <t>DISPLAY</t>
        </is>
      </c>
      <c r="H5" s="267" t="n"/>
      <c r="I5" s="268" t="inlineStr">
        <is>
          <t>HIGH IMPACT 
Las Estrellas, Bandamax, Unicable, Telehit, Canal 5, N+:
HALFPAGE_DESKTOP_SCROLLER, FULLPAGE_DESKTOP_SCROLLER, CLASSIC_FLOORAD, CONTENT_SCROLLER, MOBILE_FOOTER, MOBILE_SCROLLER, MOBILE_SKIN, PUSHUP_BILLBOARD, PAGEPEEL, PUSHUP_LEADERBOARD, SIDE_AD</t>
        </is>
      </c>
      <c r="J5" s="268" t="inlineStr">
        <is>
          <t>TAKE OVER</t>
        </is>
      </c>
      <c r="K5" s="269" t="inlineStr">
        <is>
          <t>L ON VIDEO
 Próximamente</t>
        </is>
      </c>
      <c r="L5" s="268" t="inlineStr">
        <is>
          <t>INTERSTITIAL IN APP</t>
        </is>
      </c>
      <c r="M5" s="268" t="inlineStr">
        <is>
          <t>SHOPPABLE VIDEO</t>
        </is>
      </c>
      <c r="N5" s="268" t="inlineStr">
        <is>
          <t>QR CODE VIDEO</t>
        </is>
      </c>
      <c r="O5" s="268" t="inlineStr">
        <is>
          <t>SHOP SHELF</t>
        </is>
      </c>
      <c r="P5" s="268" t="inlineStr">
        <is>
          <t>TV ADVANCE</t>
        </is>
      </c>
    </row>
    <row r="6" ht="16.5" customHeight="1" s="198">
      <c r="A6" s="127" t="n"/>
      <c r="B6" s="270" t="n"/>
      <c r="C6" s="202" t="inlineStr">
        <is>
          <t>CORE DIGITAL</t>
        </is>
      </c>
      <c r="E6" s="263" t="inlineStr">
        <is>
          <t>OTT</t>
        </is>
      </c>
      <c r="F6" s="271" t="inlineStr">
        <is>
          <t>YouTube</t>
        </is>
      </c>
      <c r="G6" s="266" t="inlineStr">
        <is>
          <t>TUDN</t>
        </is>
      </c>
      <c r="H6" s="268" t="inlineStr">
        <is>
          <t>Las Estrellas, Bandamax, Unicable, Telehit, Canal5, N+</t>
        </is>
      </c>
      <c r="I6" s="272" t="n"/>
      <c r="J6" s="272" t="n"/>
      <c r="K6" s="272" t="n"/>
      <c r="L6" s="272" t="n"/>
      <c r="M6" s="272" t="n"/>
      <c r="N6" s="272" t="n"/>
      <c r="O6" s="272" t="n"/>
      <c r="P6" s="272" t="n"/>
    </row>
    <row r="7" ht="53.25" customHeight="1" s="198">
      <c r="A7" s="127" t="n"/>
      <c r="B7" s="273" t="n"/>
      <c r="C7" s="136" t="inlineStr">
        <is>
          <t>TUDN</t>
        </is>
      </c>
      <c r="D7" s="137" t="inlineStr">
        <is>
          <t>Estrellas, Bandamax, Unicable, Telehit, Canal5, N+</t>
        </is>
      </c>
      <c r="E7" s="274" t="n"/>
      <c r="F7" s="275" t="n"/>
      <c r="G7" s="276" t="n"/>
      <c r="H7" s="277" t="n"/>
      <c r="I7" s="277" t="n"/>
      <c r="J7" s="277" t="n"/>
      <c r="K7" s="277" t="n"/>
      <c r="L7" s="277" t="n"/>
      <c r="M7" s="277" t="n"/>
      <c r="N7" s="277" t="n"/>
      <c r="O7" s="277" t="n"/>
      <c r="P7" s="277" t="n"/>
    </row>
    <row r="8" ht="258.75" customHeight="1" s="198">
      <c r="B8" s="138" t="inlineStr">
        <is>
          <t>DIMENSIONES</t>
        </is>
      </c>
      <c r="C8" s="139" t="inlineStr">
        <is>
          <t>1920x1080px</t>
        </is>
      </c>
      <c r="D8" s="139" t="inlineStr">
        <is>
          <t>1920x1080px</t>
        </is>
      </c>
      <c r="E8" s="139" t="inlineStr">
        <is>
          <t>1920x1080px</t>
        </is>
      </c>
      <c r="F8" s="139" t="inlineStr">
        <is>
          <t>1920x1080px</t>
        </is>
      </c>
      <c r="G8" s="278" t="inlineStr">
        <is>
          <t>WEB
728x90
970x90
970x250
300x250
300x600
MOBILE
320x50
300x250</t>
        </is>
      </c>
      <c r="H8" s="278" t="inlineStr">
        <is>
          <t>WEB
728x90
970x90
970x250
300x250
955x90
MOBILE
320x50
300x250</t>
        </is>
      </c>
      <c r="I8" s="278" t="inlineStr">
        <is>
          <t>Video: 1920x1080px 
Logotipo: Resolución 2:1, 1:1 ó 1:2.
Tamaño en GAM: 1x1</t>
        </is>
      </c>
      <c r="J8" s="278" t="inlineStr">
        <is>
          <t>TUDN: 400x400px
Estrellas, Bandamax, Unicable, Telehit, Canal5: 800x600px
Tamaño en GAM: 1x1</t>
        </is>
      </c>
      <c r="K8" s="279" t="inlineStr">
        <is>
          <t>820x461
Tamaño en GAM: 1x2 TBC*
Disponible en: Las Estrellas, Bandamax, Unicable, Telehit, Canal5, N+
Funcionamiento: A partir del segundo 8 en los sitios core, excepto TUDN.
En TUDN 
- Contenidos de 30" o menos, aparece 10" antes de terminar
- Contenidos de más de 30 seg, sale en el segundo 30</t>
        </is>
      </c>
      <c r="L8" s="278" t="inlineStr">
        <is>
          <t>Smartphones (320x480 y 480x320)
Tablets (1024x768 y 768x1024)
Interstitial Ad iOS 5+ (320x568 y 568x320)</t>
        </is>
      </c>
      <c r="M8" s="280" t="inlineStr">
        <is>
          <t>Video: 1920x1080px 
Llenar Brief: 
https://forms.monday.com/forms/a137e5a56ddba2d30fb477fef082459f?r=use1</t>
        </is>
      </c>
      <c r="N8" s="280" t="inlineStr">
        <is>
          <t>Video: 1920x1080px 
Llenar Brief: https://forms.monday.com/forms/8d9ad8489df1b7e7bb6221636b55ffa8?r=use1</t>
        </is>
      </c>
      <c r="O8" s="280" t="inlineStr">
        <is>
          <t>Logotipo: 80x50px. 
Hasta 5 imagenes o videos: 224x308px
Llenar Brief: https://forms.monday.com/forms/021237ad902df3f49e9b2f4abe256486?r=use1</t>
        </is>
      </c>
      <c r="P8" s="280" t="inlineStr">
        <is>
          <t>Video: 1920x1080px 
Llenar Brief: https://forms.monday.com/forms/59c1d8d15e4b829b2d5b89e069694705?r=use1</t>
        </is>
      </c>
    </row>
    <row r="9" ht="89.25" customHeight="1" s="198">
      <c r="A9" s="127" t="n"/>
      <c r="B9" s="138" t="inlineStr">
        <is>
          <t>FORMATOS PERMITIDOS</t>
        </is>
      </c>
      <c r="C9" s="143" t="inlineStr">
        <is>
          <t>.mp4, VAST 4.0
Audio: bit depth de 16 bits y sample rate de 44.1 kHz</t>
        </is>
      </c>
      <c r="D9" s="143" t="inlineStr">
        <is>
          <t>.mp4, VAST 3.0
Audio: bit depth de 16 bits y sample rate de 44.1 kHz</t>
        </is>
      </c>
      <c r="E9" s="278" t="inlineStr">
        <is>
          <t>.mp4, VAST 4.0 (Menor a 15 segundos)
Audio: bit depth de 16 bits y sample rate de 44.1 kHz</t>
        </is>
      </c>
      <c r="F9" s="278" t="inlineStr">
        <is>
          <t>.mp4, VAST 3.0 (Menor a 15 segundos),
Audio: bit depth de 16 bits y sample rate de 44.1 kHz</t>
        </is>
      </c>
      <c r="G9" s="278" t="inlineStr">
        <is>
          <t>JPEG, PNG, GIF, HTML5​,TAG.
Puede contener Video: 
máximo 20 segundos 
peso máximo de 1 mb</t>
        </is>
      </c>
      <c r="H9" s="278" t="inlineStr">
        <is>
          <t>JPEG, PNG, GIF, HTML5​,TAG.
Puede contener Video:  
máximo 20 segundos 
peso máximo de 1 mb</t>
        </is>
      </c>
      <c r="I9" s="278" t="inlineStr">
        <is>
          <t>Video: mp4
Audio: bit depth de 16 bits y sample rate de 44.1 kHz
Logotipo: .png, .jpg, .ai, .ps</t>
        </is>
      </c>
      <c r="J9" s="278" t="inlineStr">
        <is>
          <t>JPEG, PNG, GIF</t>
        </is>
      </c>
      <c r="K9" s="279" t="inlineStr">
        <is>
          <t>JPEG, PNG, GIF</t>
        </is>
      </c>
      <c r="L9" s="278" t="inlineStr">
        <is>
          <t>JPEG, PNG, GIF</t>
        </is>
      </c>
      <c r="M9" s="278" t="inlineStr">
        <is>
          <t>Video: mp4
Audio: bit depth de 16 bits y sample rate de 44.1 kHz
Logotipo: .png, .jpg, .ai, .ps 
Master Graphic: .ai, .ps</t>
        </is>
      </c>
      <c r="N9" s="278" t="inlineStr">
        <is>
          <t>Video: mp4
Audio: bit depth de 16 bits y sample rate de 44.1 kHz
Logotipo: .png, .jpg, .ai, .ps 
Master Graphic: .ai, .ps
URL Destino para el QR Code</t>
        </is>
      </c>
      <c r="O9" s="278" t="inlineStr">
        <is>
          <t>Logotipo: JPG, GIF y PNG
Hasta 5 imagenes o videos: JPG, GIF, PNG o Video .MP4</t>
        </is>
      </c>
      <c r="P9" s="278" t="inlineStr">
        <is>
          <t>Video: mp4
Audio: bit depth de 16 bits y sample rate de 44.1 kHz
Logotipo: .png, .jpg, .ai, .ps 
Master Graphic: .ai, .ps</t>
        </is>
      </c>
    </row>
    <row r="10" ht="84.75" customHeight="1" s="198">
      <c r="A10" s="127" t="n"/>
      <c r="B10" s="138" t="inlineStr">
        <is>
          <t>DURACIÓN MÁXIMA</t>
        </is>
      </c>
      <c r="C10" s="143" t="inlineStr">
        <is>
          <t>Hasta 60 segundos, arriba de 30 segundo con skip</t>
        </is>
      </c>
      <c r="D10" s="267" t="n"/>
      <c r="E10" s="143" t="inlineStr">
        <is>
          <t>30 Segundos</t>
        </is>
      </c>
      <c r="F10" s="278" t="inlineStr">
        <is>
          <t>YouTube non skippable: hasta 15 segundos 
YouTube skippable: hasta 60 segundos</t>
        </is>
      </c>
      <c r="G10" s="278" t="inlineStr">
        <is>
          <t>N/A</t>
        </is>
      </c>
      <c r="H10" s="278" t="inlineStr">
        <is>
          <t>N/A</t>
        </is>
      </c>
      <c r="I10" s="278" t="inlineStr">
        <is>
          <t>Video: hasta 30 segundos 
Heading: a 45 caracteres 
Subheading: a 125 caracteres.</t>
        </is>
      </c>
      <c r="J10" s="278" t="inlineStr">
        <is>
          <t>Boton de cierre
Cierre automatico a los 8 segundos</t>
        </is>
      </c>
      <c r="K10" s="279" t="inlineStr">
        <is>
          <t>Boton de cierre
Cierre automatico a los 8 segundos</t>
        </is>
      </c>
      <c r="L10" s="278" t="inlineStr">
        <is>
          <t>N/A</t>
        </is>
      </c>
      <c r="M10" s="278" t="inlineStr">
        <is>
          <t xml:space="preserve">Video: hasta 30 segundos 
</t>
        </is>
      </c>
      <c r="N10" s="278" t="inlineStr">
        <is>
          <t xml:space="preserve">Video: hasta 30 segundos 
</t>
        </is>
      </c>
      <c r="O10" s="278" t="inlineStr">
        <is>
          <t xml:space="preserve">Video: hasta15 segundos 
</t>
        </is>
      </c>
      <c r="P10" s="278" t="inlineStr">
        <is>
          <t xml:space="preserve">Video: hasta 30 segundos 
</t>
        </is>
      </c>
    </row>
    <row r="11" ht="38.25" customHeight="1" s="198">
      <c r="B11" s="138" t="inlineStr">
        <is>
          <t>PESO MÁXIMO</t>
        </is>
      </c>
      <c r="C11" s="143" t="inlineStr">
        <is>
          <t>8 MB</t>
        </is>
      </c>
      <c r="D11" s="143" t="inlineStr">
        <is>
          <t>8 MB</t>
        </is>
      </c>
      <c r="E11" s="143" t="inlineStr">
        <is>
          <t>8 MB</t>
        </is>
      </c>
      <c r="F11" s="278" t="inlineStr">
        <is>
          <t>8 MB</t>
        </is>
      </c>
      <c r="G11" s="278" t="inlineStr">
        <is>
          <t>900kB</t>
        </is>
      </c>
      <c r="H11" s="278" t="inlineStr">
        <is>
          <t>900kB</t>
        </is>
      </c>
      <c r="I11" s="278" t="inlineStr">
        <is>
          <t>3.9MB
Tipografía: 1mb</t>
        </is>
      </c>
      <c r="J11" s="278" t="inlineStr">
        <is>
          <t xml:space="preserve"> Image: 900kB
Video: 8MB</t>
        </is>
      </c>
      <c r="K11" s="279" t="inlineStr">
        <is>
          <t xml:space="preserve"> Image: 900kB</t>
        </is>
      </c>
      <c r="L11" s="278" t="inlineStr">
        <is>
          <t>"Smartphones (40 KBs)
Tablets (80 KBs)
Interstitial Ad iOS 5+ (80 KBs)"</t>
        </is>
      </c>
      <c r="M11" s="278" t="inlineStr">
        <is>
          <t>8MB</t>
        </is>
      </c>
      <c r="N11" s="278" t="inlineStr">
        <is>
          <t>8MB</t>
        </is>
      </c>
      <c r="O11" s="278" t="inlineStr">
        <is>
          <t>1MB</t>
        </is>
      </c>
      <c r="P11" s="278" t="inlineStr">
        <is>
          <t>8MB</t>
        </is>
      </c>
    </row>
    <row r="12" ht="48.75" customHeight="1" s="198">
      <c r="A12" s="127" t="n"/>
      <c r="B12" s="138" t="inlineStr">
        <is>
          <t>CLICK THROUGH</t>
        </is>
      </c>
      <c r="C12" s="278" t="inlineStr">
        <is>
          <t>SI (Puede ser: URL, UTM, ClickTracking).</t>
        </is>
      </c>
      <c r="D12" s="278" t="inlineStr">
        <is>
          <t>SI (Puede ser: URL, UTM, ClickTracking).</t>
        </is>
      </c>
      <c r="E12" s="278" t="inlineStr">
        <is>
          <t>SI (Puede ser: URL, UTM, ClickTracking).</t>
        </is>
      </c>
      <c r="F12" s="278" t="inlineStr">
        <is>
          <t>SI (Puede ser: URL, UTM, ClickTracking).</t>
        </is>
      </c>
      <c r="G12" s="278" t="inlineStr">
        <is>
          <t>SI (Puede ser: URL, UTM, ClickTracking).</t>
        </is>
      </c>
      <c r="H12" s="278" t="inlineStr">
        <is>
          <t>SI (Puede ser: URL, UTM, ClickTracking).</t>
        </is>
      </c>
      <c r="I12" s="278" t="inlineStr">
        <is>
          <t>SI (Puede ser: URL, UTM, ClickTracking).</t>
        </is>
      </c>
      <c r="J12" s="278" t="inlineStr">
        <is>
          <t>SI (Puede ser: URL, UTM, ClickTracking).</t>
        </is>
      </c>
      <c r="K12" s="279" t="inlineStr">
        <is>
          <t>SI (Puede ser: URL, UTM, ClickTracking).</t>
        </is>
      </c>
      <c r="L12" s="278" t="inlineStr">
        <is>
          <t>SI (Puede ser: URL, UTM, ClickTracking).</t>
        </is>
      </c>
      <c r="M12" s="278" t="inlineStr">
        <is>
          <t>SI (Puede ser: URL, UTM, ClickTracking).</t>
        </is>
      </c>
      <c r="N12" s="278" t="inlineStr">
        <is>
          <t>SI (Puede ser: URL, UTM, ClickTracking). La métrica es Scan Rate</t>
        </is>
      </c>
      <c r="O12" s="278" t="inlineStr">
        <is>
          <t>SI (Puede ser: URL, UTM, ClickTracking).</t>
        </is>
      </c>
      <c r="P12" s="278" t="inlineStr">
        <is>
          <t>SI (Puede ser: URL, UTM, ClickTracking). La métrica es Scan Rate</t>
        </is>
      </c>
    </row>
    <row r="13" ht="63" customHeight="1" s="198">
      <c r="A13" s="127" t="n"/>
      <c r="B13" s="138" t="inlineStr">
        <is>
          <t>CANALES O SITIOS</t>
        </is>
      </c>
      <c r="C13" s="278" t="inlineStr">
        <is>
          <t>HOME e INTERIORES</t>
        </is>
      </c>
      <c r="D13" s="278" t="inlineStr">
        <is>
          <t>HOME e INTERIORES</t>
        </is>
      </c>
      <c r="E13" s="278" t="inlineStr">
        <is>
          <t>EN CUALQUIER VOD Y CANALES -FAST CHANNELS-
(solo AVOD)</t>
        </is>
      </c>
      <c r="F13" s="278" t="inlineStr">
        <is>
          <t>EN CUALQUIER VOD</t>
        </is>
      </c>
      <c r="G13" s="278" t="inlineStr">
        <is>
          <t>HOME e INTERIORES| Core Digital</t>
        </is>
      </c>
      <c r="H13" s="278" t="inlineStr">
        <is>
          <t>HOME e INTERIORES| Core Digital</t>
        </is>
      </c>
      <c r="I13" s="278" t="inlineStr">
        <is>
          <t>INTERIORES| Core Digital</t>
        </is>
      </c>
      <c r="J13" s="278" t="inlineStr">
        <is>
          <t>INTERIORES| Core Digital</t>
        </is>
      </c>
      <c r="K13" s="279" t="inlineStr">
        <is>
          <t>EN CUALQUIER VOD | Core Digital</t>
        </is>
      </c>
      <c r="L13" s="278" t="inlineStr">
        <is>
          <t>SÓLO EN APP LAS ESTRELLAS</t>
        </is>
      </c>
      <c r="M13" s="278" t="inlineStr">
        <is>
          <t>HOME e INTERIORES | Core Digital</t>
        </is>
      </c>
      <c r="N13" s="278" t="inlineStr">
        <is>
          <t>EN CUALQUIER VOD Y CANALES -FAST CHANNELS- (solo AVOD)</t>
        </is>
      </c>
      <c r="O13" s="278" t="inlineStr">
        <is>
          <t>HOME e INTERIORES | Core Digital</t>
        </is>
      </c>
      <c r="P13" s="278" t="inlineStr">
        <is>
          <t>VIX CTV VOD
(solo AVOD)</t>
        </is>
      </c>
    </row>
    <row r="14" ht="14" customHeight="1" s="198">
      <c r="B14" s="132" t="n"/>
      <c r="C14" s="133" t="n"/>
      <c r="D14" s="133" t="n"/>
      <c r="E14" s="133" t="n"/>
      <c r="F14" s="133" t="n"/>
    </row>
    <row r="15" ht="4.5" customHeight="1" s="198">
      <c r="B15" s="132" t="n"/>
      <c r="C15" s="133" t="n"/>
      <c r="D15" s="133" t="n"/>
      <c r="E15" s="133" t="n"/>
      <c r="F15" s="133" t="n"/>
    </row>
    <row r="16" ht="4.5" customHeight="1" s="198">
      <c r="B16" s="132" t="n"/>
      <c r="C16" s="133" t="n"/>
      <c r="D16" s="133" t="n"/>
      <c r="E16" s="133" t="n"/>
      <c r="F16" s="133" t="n"/>
    </row>
    <row r="17" ht="4.5" customHeight="1" s="198">
      <c r="B17" s="132" t="n"/>
      <c r="C17" s="133" t="n"/>
      <c r="D17" s="133" t="n"/>
      <c r="E17" s="133" t="n"/>
      <c r="F17" s="133" t="n"/>
    </row>
    <row r="18" ht="4.5" customHeight="1" s="198">
      <c r="B18" s="132" t="n"/>
      <c r="C18" s="133" t="n"/>
      <c r="D18" s="133" t="n"/>
      <c r="E18" s="281" t="inlineStr">
        <is>
          <t xml:space="preserve">Validadores Permitidos: Aceptamos todos los validadores que generen VAST 3.0 (Core Digital)  VAST 4.0 CTV Enable
Importante - Revisa que el documento corresponda a la última versión lanzada por el equipo de Operaciones Comerciales. 25 de Septiembre de 2023
</t>
        </is>
      </c>
    </row>
    <row r="19" ht="15.75" customHeight="1" s="198">
      <c r="B19" s="132" t="n"/>
      <c r="C19" s="133" t="n"/>
      <c r="D19" s="133" t="n"/>
    </row>
    <row r="20" ht="15.75" customHeight="1" s="198">
      <c r="B20" s="132" t="n"/>
      <c r="C20" s="133" t="n"/>
      <c r="D20" s="133" t="n"/>
    </row>
    <row r="21" ht="115.5" customHeight="1" s="198">
      <c r="B21" s="132" t="n"/>
      <c r="C21" s="133" t="n"/>
      <c r="D21" s="133" t="n"/>
    </row>
    <row r="22" ht="15.75" customHeight="1" s="198">
      <c r="B22" s="132" t="n"/>
      <c r="C22" s="133" t="n"/>
      <c r="D22" s="133" t="n"/>
      <c r="E22" s="133" t="n"/>
      <c r="F22" s="133" t="n"/>
    </row>
    <row r="23" ht="15.75" customHeight="1" s="198">
      <c r="B23" s="132" t="n"/>
      <c r="C23" s="133" t="n"/>
      <c r="D23" s="133" t="n"/>
      <c r="E23" s="133" t="n"/>
      <c r="F23" s="133" t="n"/>
    </row>
    <row r="24" ht="15.75" customHeight="1" s="198">
      <c r="B24" s="132" t="n"/>
      <c r="C24" s="133" t="n"/>
      <c r="D24" s="133" t="n"/>
      <c r="E24" s="133" t="n"/>
      <c r="F24" s="133" t="n"/>
    </row>
    <row r="25" ht="15.75" customHeight="1" s="198">
      <c r="B25" s="132" t="n"/>
      <c r="C25" s="133" t="n"/>
      <c r="D25" s="133" t="n"/>
      <c r="E25" s="133" t="n"/>
      <c r="F25" s="133" t="n"/>
    </row>
    <row r="26" ht="15.75" customHeight="1" s="198">
      <c r="B26" s="132" t="n"/>
      <c r="C26" s="133" t="n"/>
      <c r="D26" s="133" t="n"/>
      <c r="E26" s="133" t="n"/>
      <c r="F26" s="133" t="n"/>
    </row>
    <row r="27" ht="15.75" customHeight="1" s="198">
      <c r="B27" s="133" t="n"/>
      <c r="C27" s="133" t="n"/>
      <c r="D27" s="133" t="n"/>
      <c r="E27" s="133" t="n"/>
      <c r="F27" s="133" t="n"/>
    </row>
    <row r="28" ht="15.75" customHeight="1" s="198">
      <c r="B28" s="133" t="n"/>
      <c r="C28" s="133" t="n"/>
      <c r="D28" s="133" t="n"/>
      <c r="E28" s="133" t="n"/>
      <c r="F28" s="133" t="n"/>
    </row>
    <row r="29" ht="15.75" customHeight="1" s="198">
      <c r="B29" s="133" t="n"/>
      <c r="C29" s="133" t="n"/>
      <c r="D29" s="133" t="n"/>
      <c r="E29" s="133" t="n"/>
      <c r="F29" s="133" t="n"/>
    </row>
    <row r="30" ht="15.75" customHeight="1" s="198">
      <c r="B30" s="133" t="n"/>
      <c r="C30" s="133" t="n"/>
      <c r="D30" s="133" t="n"/>
      <c r="E30" s="133" t="n"/>
      <c r="F30" s="133" t="n"/>
    </row>
    <row r="31" ht="15.75" customHeight="1" s="198">
      <c r="B31" s="133" t="n"/>
      <c r="C31" s="133" t="n"/>
      <c r="D31" s="133" t="n"/>
      <c r="E31" s="133" t="n"/>
      <c r="F31" s="133" t="n"/>
    </row>
    <row r="32" ht="15.75" customHeight="1" s="198">
      <c r="B32" s="133" t="n"/>
      <c r="C32" s="133" t="n"/>
      <c r="D32" s="133" t="n"/>
      <c r="E32" s="133" t="n"/>
      <c r="F32" s="133" t="n"/>
    </row>
    <row r="33" ht="15.75" customHeight="1" s="198">
      <c r="B33" s="133" t="n"/>
      <c r="C33" s="133" t="n"/>
      <c r="D33" s="133" t="n"/>
      <c r="E33" s="133" t="n"/>
      <c r="F33" s="133" t="n"/>
    </row>
    <row r="34" ht="15.75" customHeight="1" s="198">
      <c r="B34" s="133" t="n"/>
      <c r="C34" s="133" t="n"/>
      <c r="D34" s="133" t="n"/>
      <c r="E34" s="133" t="n"/>
      <c r="F34" s="133" t="n"/>
    </row>
    <row r="35" ht="15.75" customHeight="1" s="198">
      <c r="B35" s="133" t="n"/>
      <c r="C35" s="133" t="n"/>
      <c r="D35" s="133" t="n"/>
      <c r="E35" s="133" t="n"/>
      <c r="F35" s="133" t="n"/>
    </row>
    <row r="36" ht="15.75" customHeight="1" s="198">
      <c r="B36" s="133" t="n"/>
      <c r="C36" s="133" t="n"/>
      <c r="D36" s="133" t="n"/>
      <c r="E36" s="133" t="n"/>
      <c r="F36" s="133" t="n"/>
    </row>
    <row r="37" ht="15.75" customHeight="1" s="198">
      <c r="B37" s="133" t="n"/>
      <c r="C37" s="133" t="n"/>
      <c r="D37" s="133" t="n"/>
      <c r="E37" s="133" t="n"/>
      <c r="F37" s="133" t="n"/>
    </row>
    <row r="38" ht="15.75" customHeight="1" s="198">
      <c r="B38" s="133" t="n"/>
      <c r="C38" s="133" t="n"/>
      <c r="D38" s="133" t="n"/>
      <c r="E38" s="133" t="n"/>
      <c r="F38" s="133" t="n"/>
    </row>
    <row r="39" ht="15.75" customHeight="1" s="198">
      <c r="B39" s="133" t="n"/>
      <c r="C39" s="133" t="n"/>
      <c r="D39" s="133" t="n"/>
      <c r="E39" s="133" t="n"/>
      <c r="F39" s="133" t="n"/>
    </row>
    <row r="40" ht="15.75" customHeight="1" s="198">
      <c r="B40" s="133" t="n"/>
      <c r="C40" s="133" t="n"/>
      <c r="D40" s="133" t="n"/>
      <c r="E40" s="133" t="n"/>
      <c r="F40" s="133" t="n"/>
    </row>
    <row r="41" ht="15.75" customHeight="1" s="198">
      <c r="B41" s="133" t="n"/>
      <c r="C41" s="133" t="n"/>
      <c r="D41" s="133" t="n"/>
      <c r="E41" s="133" t="n"/>
      <c r="F41" s="133" t="n"/>
    </row>
    <row r="42" ht="15.75" customHeight="1" s="198">
      <c r="B42" s="133" t="n"/>
      <c r="C42" s="133" t="n"/>
      <c r="D42" s="133" t="n"/>
      <c r="E42" s="133" t="n"/>
      <c r="F42" s="133" t="n"/>
    </row>
    <row r="43" ht="15.75" customHeight="1" s="198">
      <c r="B43" s="133" t="n"/>
      <c r="C43" s="133" t="n"/>
      <c r="D43" s="133" t="n"/>
      <c r="E43" s="133" t="n"/>
      <c r="F43" s="133" t="n"/>
    </row>
    <row r="44" ht="15.75" customHeight="1" s="198"/>
    <row r="45" ht="15.75" customHeight="1" s="198"/>
    <row r="46" ht="15.75" customHeight="1" s="198"/>
    <row r="47" ht="15.75" customHeight="1" s="198"/>
    <row r="48" ht="15.75" customHeight="1" s="198"/>
    <row r="49" ht="15.75" customHeight="1" s="198"/>
    <row r="50" ht="15.75" customHeight="1" s="198"/>
    <row r="51" ht="15.75" customHeight="1" s="198"/>
    <row r="52" ht="15.75" customHeight="1" s="198"/>
    <row r="53" ht="15.75" customHeight="1" s="198"/>
    <row r="54" ht="15.75" customHeight="1" s="198"/>
    <row r="55" ht="15.75" customHeight="1" s="198"/>
    <row r="56" ht="15.75" customHeight="1" s="198"/>
    <row r="57" ht="15.75" customHeight="1" s="198"/>
    <row r="58" ht="15.75" customHeight="1" s="198"/>
    <row r="59" ht="15.75" customHeight="1" s="198"/>
    <row r="60" ht="15.75" customHeight="1" s="198"/>
    <row r="61" ht="15.75" customHeight="1" s="198"/>
    <row r="62" ht="15.75" customHeight="1" s="198"/>
    <row r="63" ht="15.75" customHeight="1" s="198"/>
    <row r="64" ht="15.75" customHeight="1" s="198"/>
    <row r="65" ht="15.75" customHeight="1" s="198"/>
    <row r="66" ht="15.75" customHeight="1" s="198"/>
    <row r="67" ht="15.75" customHeight="1" s="198"/>
    <row r="68" ht="15.75" customHeight="1" s="198"/>
    <row r="69" ht="15.75" customHeight="1" s="198">
      <c r="B69" s="127" t="n"/>
    </row>
    <row r="70" ht="15.75" customHeight="1" s="198"/>
    <row r="71" ht="15.75" customHeight="1" s="198"/>
    <row r="72" ht="15.75" customHeight="1" s="198"/>
    <row r="73" ht="15.75" customHeight="1" s="198"/>
    <row r="74" ht="15.75" customHeight="1" s="198"/>
    <row r="75" ht="15.75" customHeight="1" s="198"/>
    <row r="76" ht="15.75" customHeight="1" s="198"/>
    <row r="77" ht="15.75" customHeight="1" s="198"/>
    <row r="78" ht="15.75" customHeight="1" s="198"/>
    <row r="79" ht="15.75" customHeight="1" s="198"/>
    <row r="80" ht="15.75" customHeight="1" s="198"/>
    <row r="81" ht="15.75" customHeight="1" s="198"/>
    <row r="82" ht="15.75" customHeight="1" s="198"/>
    <row r="83" ht="15.75" customHeight="1" s="198"/>
    <row r="84" ht="15.75" customHeight="1" s="198"/>
    <row r="85" ht="15.75" customHeight="1" s="198"/>
    <row r="86" ht="15.75" customHeight="1" s="198"/>
    <row r="87" ht="15.75" customHeight="1" s="198"/>
    <row r="88" ht="15.75" customHeight="1" s="198"/>
    <row r="89" ht="15.75" customHeight="1" s="198"/>
    <row r="90" ht="15.75" customHeight="1" s="198"/>
    <row r="91" ht="15.75" customHeight="1" s="198"/>
    <row r="92" ht="15.75" customHeight="1" s="198"/>
    <row r="93" ht="15.75" customHeight="1" s="198"/>
    <row r="94" ht="15.75" customHeight="1" s="198"/>
    <row r="95" ht="15.75" customHeight="1" s="198"/>
    <row r="96" ht="15.75" customHeight="1" s="198"/>
    <row r="97" ht="15.75" customHeight="1" s="198"/>
    <row r="98" ht="15.75" customHeight="1" s="198"/>
    <row r="99" ht="15.75" customHeight="1" s="198"/>
    <row r="100" ht="15.75" customHeight="1" s="198"/>
    <row r="101" ht="15.75" customHeight="1" s="198"/>
    <row r="102" ht="15.75" customHeight="1" s="198"/>
    <row r="103" ht="15.75" customHeight="1" s="198"/>
    <row r="104" ht="15.75" customHeight="1" s="198"/>
    <row r="105" ht="15.75" customHeight="1" s="198"/>
    <row r="106" ht="15.75" customHeight="1" s="198"/>
    <row r="107" ht="15.75" customHeight="1" s="198"/>
    <row r="108" ht="15.75" customHeight="1" s="198"/>
    <row r="109" ht="15.75" customHeight="1" s="198"/>
    <row r="110" ht="15.75" customHeight="1" s="198"/>
    <row r="111" ht="15.75" customHeight="1" s="198"/>
    <row r="112" ht="15.75" customHeight="1" s="198"/>
    <row r="113" ht="15.75" customHeight="1" s="198"/>
    <row r="114" ht="15.75" customHeight="1" s="198"/>
    <row r="115" ht="15.75" customHeight="1" s="198"/>
    <row r="116" ht="15.75" customHeight="1" s="198"/>
    <row r="117" ht="15.75" customHeight="1" s="198"/>
    <row r="118" ht="15.75" customHeight="1" s="198"/>
    <row r="119" ht="15.75" customHeight="1" s="198"/>
    <row r="120" ht="15.75" customHeight="1" s="198"/>
    <row r="121" ht="15.75" customHeight="1" s="198"/>
    <row r="122" ht="15.75" customHeight="1" s="198"/>
    <row r="123" ht="15.75" customHeight="1" s="198"/>
    <row r="124" ht="15.75" customHeight="1" s="198"/>
    <row r="125" ht="15.75" customHeight="1" s="198"/>
    <row r="126" ht="15.75" customHeight="1" s="198"/>
    <row r="127" ht="15.75" customHeight="1" s="198"/>
    <row r="128" ht="15.75" customHeight="1" s="198"/>
    <row r="129" ht="15.75" customHeight="1" s="198"/>
    <row r="130" ht="15.75" customHeight="1" s="198"/>
    <row r="131" ht="15.75" customHeight="1" s="198"/>
    <row r="132" ht="15.75" customHeight="1" s="198"/>
    <row r="133" ht="15.75" customHeight="1" s="198"/>
    <row r="134" ht="15.75" customHeight="1" s="198"/>
    <row r="135" ht="15.75" customHeight="1" s="198"/>
    <row r="136" ht="15.75" customHeight="1" s="198"/>
    <row r="137" ht="15.75" customHeight="1" s="198"/>
    <row r="138" ht="15.75" customHeight="1" s="198"/>
    <row r="139" ht="15.75" customHeight="1" s="198"/>
    <row r="140" ht="15.75" customHeight="1" s="198"/>
    <row r="141" ht="15.75" customHeight="1" s="198"/>
    <row r="142" ht="15.75" customHeight="1" s="198"/>
    <row r="143" ht="15.75" customHeight="1" s="198"/>
    <row r="144" ht="15.75" customHeight="1" s="198"/>
    <row r="145" ht="15.75" customHeight="1" s="198"/>
    <row r="146" ht="15.75" customHeight="1" s="198"/>
    <row r="147" ht="15.75" customHeight="1" s="198"/>
    <row r="148" ht="15.75" customHeight="1" s="198"/>
    <row r="149" ht="15.75" customHeight="1" s="198"/>
    <row r="150" ht="15.75" customHeight="1" s="198"/>
    <row r="151" ht="15.75" customHeight="1" s="198"/>
    <row r="152" ht="15.75" customHeight="1" s="198"/>
    <row r="153" ht="15.75" customHeight="1" s="198"/>
    <row r="154" ht="15.75" customHeight="1" s="198"/>
    <row r="155" ht="15.75" customHeight="1" s="198"/>
    <row r="156" ht="15.75" customHeight="1" s="198"/>
    <row r="157" ht="15.75" customHeight="1" s="198"/>
    <row r="158" ht="15.75" customHeight="1" s="198"/>
    <row r="159" ht="15.75" customHeight="1" s="198"/>
    <row r="160" ht="15.75" customHeight="1" s="198"/>
    <row r="161" ht="15.75" customHeight="1" s="198"/>
    <row r="162" ht="15.75" customHeight="1" s="198"/>
    <row r="163" ht="15.75" customHeight="1" s="198"/>
    <row r="164" ht="15.75" customHeight="1" s="198"/>
    <row r="165" ht="15.75" customHeight="1" s="198"/>
    <row r="166" ht="15.75" customHeight="1" s="198"/>
    <row r="167" ht="15.75" customHeight="1" s="198"/>
    <row r="168" ht="15.75" customHeight="1" s="198"/>
    <row r="169" ht="15.75" customHeight="1" s="198"/>
    <row r="170" ht="15.75" customHeight="1" s="198"/>
    <row r="171" ht="15.75" customHeight="1" s="198"/>
    <row r="172" ht="15.75" customHeight="1" s="198"/>
    <row r="173" ht="15.75" customHeight="1" s="198"/>
    <row r="174" ht="15.75" customHeight="1" s="198"/>
    <row r="175" ht="15.75" customHeight="1" s="198"/>
    <row r="176" ht="15.75" customHeight="1" s="198"/>
    <row r="177" ht="15.75" customHeight="1" s="198"/>
    <row r="178" ht="15.75" customHeight="1" s="198"/>
    <row r="179" ht="15.75" customHeight="1" s="198"/>
    <row r="180" ht="15.75" customHeight="1" s="198"/>
    <row r="181" ht="15.75" customHeight="1" s="198"/>
    <row r="182" ht="15.75" customHeight="1" s="198"/>
    <row r="183" ht="15.75" customHeight="1" s="198"/>
    <row r="184" ht="15.75" customHeight="1" s="198"/>
    <row r="185" ht="15.75" customHeight="1" s="198"/>
    <row r="186" ht="15.75" customHeight="1" s="198"/>
    <row r="187" ht="15.75" customHeight="1" s="198"/>
    <row r="188" ht="15.75" customHeight="1" s="198"/>
    <row r="189" ht="15.75" customHeight="1" s="198"/>
    <row r="190" ht="15.75" customHeight="1" s="198"/>
    <row r="191" ht="15.75" customHeight="1" s="198"/>
    <row r="192" ht="15.75" customHeight="1" s="198"/>
    <row r="193" ht="15.75" customHeight="1" s="198"/>
    <row r="194" ht="15.75" customHeight="1" s="198"/>
    <row r="195" ht="15.75" customHeight="1" s="198"/>
    <row r="196" ht="15.75" customHeight="1" s="198"/>
    <row r="197" ht="15.75" customHeight="1" s="198"/>
    <row r="198" ht="15.75" customHeight="1" s="198"/>
    <row r="199" ht="15.75" customHeight="1" s="198"/>
    <row r="200" ht="15.75" customHeight="1" s="198"/>
    <row r="201" ht="15.75" customHeight="1" s="198"/>
    <row r="202" ht="15.75" customHeight="1" s="198"/>
    <row r="203" ht="15.75" customHeight="1" s="198"/>
    <row r="204" ht="15.75" customHeight="1" s="198"/>
    <row r="205" ht="15.75" customHeight="1" s="198"/>
    <row r="206" ht="15.75" customHeight="1" s="198"/>
    <row r="207" ht="15.75" customHeight="1" s="198"/>
    <row r="208" ht="15.75" customHeight="1" s="198"/>
    <row r="209" ht="15.75" customHeight="1" s="198"/>
    <row r="210" ht="15.75" customHeight="1" s="198"/>
    <row r="211" ht="15.75" customHeight="1" s="198"/>
    <row r="212" ht="15.75" customHeight="1" s="198"/>
    <row r="213" ht="15.75" customHeight="1" s="198"/>
    <row r="214" ht="15.75" customHeight="1" s="198"/>
    <row r="215" ht="15.75" customHeight="1" s="198"/>
    <row r="216" ht="15.75" customHeight="1" s="198"/>
    <row r="217" ht="15.75" customHeight="1" s="198"/>
    <row r="218" ht="15.75" customHeight="1" s="198"/>
    <row r="219" ht="15.75" customHeight="1" s="198"/>
    <row r="220" ht="15.75" customHeight="1" s="198"/>
    <row r="221" ht="15.75" customHeight="1" s="198"/>
    <row r="222" ht="15.75" customHeight="1" s="198"/>
    <row r="223" ht="15.75" customHeight="1" s="198"/>
    <row r="224" ht="15.75" customHeight="1" s="198"/>
    <row r="225" ht="15.75" customHeight="1" s="198"/>
    <row r="226" ht="15.75" customHeight="1" s="198"/>
    <row r="227" ht="15.75" customHeight="1" s="198"/>
    <row r="228" ht="15.75" customHeight="1" s="198"/>
    <row r="229" ht="15.75" customHeight="1" s="198"/>
    <row r="230" ht="15.75" customHeight="1" s="198"/>
    <row r="231" ht="15.75" customHeight="1" s="198"/>
    <row r="232" ht="15.75" customHeight="1" s="198"/>
    <row r="233" ht="15.75" customHeight="1" s="198"/>
    <row r="234" ht="15.75" customHeight="1" s="198"/>
    <row r="235" ht="15.75" customHeight="1" s="198"/>
    <row r="236" ht="15.75" customHeight="1" s="198"/>
    <row r="237" ht="15.75" customHeight="1" s="198"/>
    <row r="238" ht="15.75" customHeight="1" s="198"/>
    <row r="239" ht="15.75" customHeight="1" s="198"/>
    <row r="240" ht="15.75" customHeight="1" s="198"/>
    <row r="241" ht="15.75" customHeight="1" s="198"/>
    <row r="242" ht="15.75" customHeight="1" s="198"/>
    <row r="243" ht="15.75" customHeight="1" s="198"/>
    <row r="244" ht="15.75" customHeight="1" s="198"/>
    <row r="245" ht="15.75" customHeight="1" s="198"/>
    <row r="246" ht="15.75" customHeight="1" s="198"/>
    <row r="247" ht="15.75" customHeight="1" s="198"/>
    <row r="248" ht="15.75" customHeight="1" s="198"/>
    <row r="249" ht="15.75" customHeight="1" s="198"/>
    <row r="250" ht="15.75" customHeight="1" s="198"/>
    <row r="251" ht="15.75" customHeight="1" s="198"/>
    <row r="252" ht="15.75" customHeight="1" s="198"/>
    <row r="253" ht="15.75" customHeight="1" s="198"/>
    <row r="254" ht="15.75" customHeight="1" s="198"/>
    <row r="255" ht="15.75" customHeight="1" s="198"/>
    <row r="256" ht="15.75" customHeight="1" s="198"/>
    <row r="257" ht="15.75" customHeight="1" s="198"/>
    <row r="258" ht="15.75" customHeight="1" s="198"/>
    <row r="259" ht="15.75" customHeight="1" s="198"/>
    <row r="260" ht="15.75" customHeight="1" s="198"/>
    <row r="261" ht="15.75" customHeight="1" s="198"/>
    <row r="262" ht="15.75" customHeight="1" s="198"/>
    <row r="263" ht="15.75" customHeight="1" s="198"/>
    <row r="264" ht="15.75" customHeight="1" s="198"/>
    <row r="265" ht="15.75" customHeight="1" s="198"/>
    <row r="266" ht="15.75" customHeight="1" s="198"/>
    <row r="267" ht="15.75" customHeight="1" s="198"/>
    <row r="268" ht="15.75" customHeight="1" s="198"/>
    <row r="269" ht="15.75" customHeight="1" s="198"/>
    <row r="270" ht="15.75" customHeight="1" s="198"/>
    <row r="271" ht="15.75" customHeight="1" s="198"/>
    <row r="272" ht="15.75" customHeight="1" s="198"/>
    <row r="273" ht="15.75" customHeight="1" s="198"/>
    <row r="274" ht="15.75" customHeight="1" s="198"/>
    <row r="275" ht="15.75" customHeight="1" s="198"/>
    <row r="276" ht="15.75" customHeight="1" s="198"/>
    <row r="277" ht="15.75" customHeight="1" s="198"/>
    <row r="278" ht="15.75" customHeight="1" s="198"/>
    <row r="279" ht="15.75" customHeight="1" s="198"/>
    <row r="280" ht="15.75" customHeight="1" s="198"/>
    <row r="281" ht="15.75" customHeight="1" s="198"/>
    <row r="282" ht="15.75" customHeight="1" s="198"/>
    <row r="283" ht="15.75" customHeight="1" s="198"/>
    <row r="284" ht="15.75" customHeight="1" s="198"/>
    <row r="285" ht="15.75" customHeight="1" s="198"/>
    <row r="286" ht="15.75" customHeight="1" s="198"/>
    <row r="287" ht="15.75" customHeight="1" s="198"/>
    <row r="288" ht="15.75" customHeight="1" s="198"/>
    <row r="289" ht="15.75" customHeight="1" s="198"/>
    <row r="290" ht="15.75" customHeight="1" s="198"/>
    <row r="291" ht="15.75" customHeight="1" s="198"/>
    <row r="292" ht="15.75" customHeight="1" s="198"/>
    <row r="293" ht="15.75" customHeight="1" s="198"/>
    <row r="294" ht="15.75" customHeight="1" s="198"/>
    <row r="295" ht="15.75" customHeight="1" s="198"/>
    <row r="296" ht="15.75" customHeight="1" s="198"/>
    <row r="297" ht="15.75" customHeight="1" s="198"/>
    <row r="298" ht="15.75" customHeight="1" s="198"/>
    <row r="299" ht="15.75" customHeight="1" s="198"/>
    <row r="300" ht="15.75" customHeight="1" s="198"/>
    <row r="301" ht="15.75" customHeight="1" s="198"/>
    <row r="302" ht="15.75" customHeight="1" s="198"/>
    <row r="303" ht="15.75" customHeight="1" s="198"/>
    <row r="304" ht="15.75" customHeight="1" s="198"/>
    <row r="305" ht="15.75" customHeight="1" s="198"/>
    <row r="306" ht="15.75" customHeight="1" s="198"/>
    <row r="307" ht="15.75" customHeight="1" s="198"/>
    <row r="308" ht="15.75" customHeight="1" s="198"/>
    <row r="309" ht="15.75" customHeight="1" s="198"/>
    <row r="310" ht="15.75" customHeight="1" s="198"/>
    <row r="311" ht="15.75" customHeight="1" s="198"/>
    <row r="312" ht="15.75" customHeight="1" s="198"/>
    <row r="313" ht="15.75" customHeight="1" s="198"/>
    <row r="314" ht="15.75" customHeight="1" s="198"/>
    <row r="315" ht="15.75" customHeight="1" s="198"/>
    <row r="316" ht="15.75" customHeight="1" s="198"/>
    <row r="317" ht="15.75" customHeight="1" s="198"/>
    <row r="318" ht="15.75" customHeight="1" s="198"/>
    <row r="319" ht="15.75" customHeight="1" s="198"/>
    <row r="320" ht="15.75" customHeight="1" s="198"/>
    <row r="321" ht="15.75" customHeight="1" s="198"/>
    <row r="322" ht="15.75" customHeight="1" s="198"/>
    <row r="323" ht="15.75" customHeight="1" s="198"/>
    <row r="324" ht="15.75" customHeight="1" s="198"/>
    <row r="325" ht="15.75" customHeight="1" s="198"/>
    <row r="326" ht="15.75" customHeight="1" s="198"/>
    <row r="327" ht="15.75" customHeight="1" s="198"/>
    <row r="328" ht="15.75" customHeight="1" s="198"/>
    <row r="329" ht="15.75" customHeight="1" s="198"/>
    <row r="330" ht="15.75" customHeight="1" s="198"/>
    <row r="331" ht="15.75" customHeight="1" s="198"/>
    <row r="332" ht="15.75" customHeight="1" s="198"/>
    <row r="333" ht="15.75" customHeight="1" s="198"/>
    <row r="334" ht="15.75" customHeight="1" s="198"/>
    <row r="335" ht="15.75" customHeight="1" s="198"/>
    <row r="336" ht="15.75" customHeight="1" s="198"/>
    <row r="337" ht="15.75" customHeight="1" s="198"/>
    <row r="338" ht="15.75" customHeight="1" s="198"/>
    <row r="339" ht="15.75" customHeight="1" s="198"/>
    <row r="340" ht="15.75" customHeight="1" s="198"/>
    <row r="341" ht="15.75" customHeight="1" s="198"/>
    <row r="342" ht="15.75" customHeight="1" s="198"/>
    <row r="343" ht="15.75" customHeight="1" s="198"/>
    <row r="344" ht="15.75" customHeight="1" s="198"/>
    <row r="345" ht="15.75" customHeight="1" s="198"/>
    <row r="346" ht="15.75" customHeight="1" s="198"/>
    <row r="347" ht="15.75" customHeight="1" s="198"/>
    <row r="348" ht="15.75" customHeight="1" s="198"/>
    <row r="349" ht="15.75" customHeight="1" s="198"/>
    <row r="350" ht="15.75" customHeight="1" s="198"/>
    <row r="351" ht="15.75" customHeight="1" s="198"/>
    <row r="352" ht="15.75" customHeight="1" s="198"/>
    <row r="353" ht="15.75" customHeight="1" s="198"/>
    <row r="354" ht="15.75" customHeight="1" s="198"/>
    <row r="355" ht="15.75" customHeight="1" s="198"/>
    <row r="356" ht="15.75" customHeight="1" s="198"/>
    <row r="357" ht="15.75" customHeight="1" s="198"/>
    <row r="358" ht="15.75" customHeight="1" s="198"/>
    <row r="359" ht="15.75" customHeight="1" s="198"/>
    <row r="360" ht="15.75" customHeight="1" s="198"/>
    <row r="361" ht="15.75" customHeight="1" s="198"/>
    <row r="362" ht="15.75" customHeight="1" s="198"/>
    <row r="363" ht="15.75" customHeight="1" s="198"/>
    <row r="364" ht="15.75" customHeight="1" s="198"/>
    <row r="365" ht="15.75" customHeight="1" s="198"/>
    <row r="366" ht="15.75" customHeight="1" s="198"/>
    <row r="367" ht="15.75" customHeight="1" s="198"/>
    <row r="368" ht="15.75" customHeight="1" s="198"/>
    <row r="369" ht="15.75" customHeight="1" s="198"/>
    <row r="370" ht="15.75" customHeight="1" s="198"/>
    <row r="371" ht="15.75" customHeight="1" s="198"/>
    <row r="372" ht="15.75" customHeight="1" s="198"/>
    <row r="373" ht="15.75" customHeight="1" s="198"/>
    <row r="374" ht="15.75" customHeight="1" s="198"/>
    <row r="375" ht="15.75" customHeight="1" s="198"/>
    <row r="376" ht="15.75" customHeight="1" s="198"/>
    <row r="377" ht="15.75" customHeight="1" s="198"/>
    <row r="378" ht="15.75" customHeight="1" s="198"/>
    <row r="379" ht="15.75" customHeight="1" s="198"/>
    <row r="380" ht="15.75" customHeight="1" s="198"/>
    <row r="381" ht="15.75" customHeight="1" s="198"/>
    <row r="382" ht="15.75" customHeight="1" s="198"/>
    <row r="383" ht="15.75" customHeight="1" s="198"/>
    <row r="384" ht="15.75" customHeight="1" s="198"/>
    <row r="385" ht="15.75" customHeight="1" s="198"/>
    <row r="386" ht="15.75" customHeight="1" s="198"/>
    <row r="387" ht="15.75" customHeight="1" s="198"/>
    <row r="388" ht="15.75" customHeight="1" s="198"/>
    <row r="389" ht="15.75" customHeight="1" s="198"/>
    <row r="390" ht="15.75" customHeight="1" s="198"/>
    <row r="391" ht="15.75" customHeight="1" s="198"/>
    <row r="392" ht="15.75" customHeight="1" s="198"/>
    <row r="393" ht="15.75" customHeight="1" s="198"/>
    <row r="394" ht="15.75" customHeight="1" s="198"/>
    <row r="395" ht="15.75" customHeight="1" s="198"/>
    <row r="396" ht="15.75" customHeight="1" s="198"/>
    <row r="397" ht="15.75" customHeight="1" s="198"/>
    <row r="398" ht="15.75" customHeight="1" s="198"/>
    <row r="399" ht="15.75" customHeight="1" s="198"/>
    <row r="400" ht="15.75" customHeight="1" s="198"/>
    <row r="401" ht="15.75" customHeight="1" s="198"/>
    <row r="402" ht="15.75" customHeight="1" s="198"/>
    <row r="403" ht="15.75" customHeight="1" s="198"/>
    <row r="404" ht="15.75" customHeight="1" s="198"/>
    <row r="405" ht="15.75" customHeight="1" s="198"/>
    <row r="406" ht="15.75" customHeight="1" s="198"/>
    <row r="407" ht="15.75" customHeight="1" s="198"/>
    <row r="408" ht="15.75" customHeight="1" s="198"/>
    <row r="409" ht="15.75" customHeight="1" s="198"/>
    <row r="410" ht="15.75" customHeight="1" s="198"/>
    <row r="411" ht="15.75" customHeight="1" s="198"/>
    <row r="412" ht="15.75" customHeight="1" s="198"/>
    <row r="413" ht="15.75" customHeight="1" s="198"/>
    <row r="414" ht="15.75" customHeight="1" s="198"/>
    <row r="415" ht="15.75" customHeight="1" s="198"/>
    <row r="416" ht="15.75" customHeight="1" s="198"/>
    <row r="417" ht="15.75" customHeight="1" s="198"/>
    <row r="418" ht="15.75" customHeight="1" s="198"/>
    <row r="419" ht="15.75" customHeight="1" s="198"/>
    <row r="420" ht="15.75" customHeight="1" s="198"/>
    <row r="421" ht="15.75" customHeight="1" s="198"/>
    <row r="422" ht="15.75" customHeight="1" s="198"/>
    <row r="423" ht="15.75" customHeight="1" s="198"/>
    <row r="424" ht="15.75" customHeight="1" s="198"/>
    <row r="425" ht="15.75" customHeight="1" s="198"/>
    <row r="426" ht="15.75" customHeight="1" s="198"/>
    <row r="427" ht="15.75" customHeight="1" s="198"/>
    <row r="428" ht="15.75" customHeight="1" s="198"/>
    <row r="429" ht="15.75" customHeight="1" s="198"/>
    <row r="430" ht="15.75" customHeight="1" s="198"/>
    <row r="431" ht="15.75" customHeight="1" s="198"/>
    <row r="432" ht="15.75" customHeight="1" s="198"/>
    <row r="433" ht="15.75" customHeight="1" s="198"/>
    <row r="434" ht="15.75" customHeight="1" s="198"/>
    <row r="435" ht="15.75" customHeight="1" s="198"/>
    <row r="436" ht="15.75" customHeight="1" s="198"/>
    <row r="437" ht="15.75" customHeight="1" s="198"/>
    <row r="438" ht="15.75" customHeight="1" s="198"/>
    <row r="439" ht="15.75" customHeight="1" s="198"/>
    <row r="440" ht="15.75" customHeight="1" s="198"/>
    <row r="441" ht="15.75" customHeight="1" s="198"/>
    <row r="442" ht="15.75" customHeight="1" s="198"/>
    <row r="443" ht="15.75" customHeight="1" s="198"/>
    <row r="444" ht="15.75" customHeight="1" s="198"/>
    <row r="445" ht="15.75" customHeight="1" s="198"/>
    <row r="446" ht="15.75" customHeight="1" s="198"/>
    <row r="447" ht="15.75" customHeight="1" s="198"/>
    <row r="448" ht="15.75" customHeight="1" s="198"/>
    <row r="449" ht="15.75" customHeight="1" s="198"/>
    <row r="450" ht="15.75" customHeight="1" s="198"/>
    <row r="451" ht="15.75" customHeight="1" s="198"/>
    <row r="452" ht="15.75" customHeight="1" s="198"/>
    <row r="453" ht="15.75" customHeight="1" s="198"/>
    <row r="454" ht="15.75" customHeight="1" s="198"/>
    <row r="455" ht="15.75" customHeight="1" s="198"/>
    <row r="456" ht="15.75" customHeight="1" s="198"/>
    <row r="457" ht="15.75" customHeight="1" s="198"/>
    <row r="458" ht="15.75" customHeight="1" s="198"/>
    <row r="459" ht="15.75" customHeight="1" s="198"/>
    <row r="460" ht="15.75" customHeight="1" s="198"/>
    <row r="461" ht="15.75" customHeight="1" s="198"/>
    <row r="462" ht="15.75" customHeight="1" s="198"/>
    <row r="463" ht="15.75" customHeight="1" s="198"/>
    <row r="464" ht="15.75" customHeight="1" s="198"/>
    <row r="465" ht="15.75" customHeight="1" s="198"/>
    <row r="466" ht="15.75" customHeight="1" s="198"/>
    <row r="467" ht="15.75" customHeight="1" s="198"/>
    <row r="468" ht="15.75" customHeight="1" s="198"/>
    <row r="469" ht="15.75" customHeight="1" s="198"/>
    <row r="470" ht="15.75" customHeight="1" s="198"/>
    <row r="471" ht="15.75" customHeight="1" s="198"/>
    <row r="472" ht="15.75" customHeight="1" s="198"/>
    <row r="473" ht="15.75" customHeight="1" s="198"/>
    <row r="474" ht="15.75" customHeight="1" s="198"/>
    <row r="475" ht="15.75" customHeight="1" s="198"/>
    <row r="476" ht="15.75" customHeight="1" s="198"/>
    <row r="477" ht="15.75" customHeight="1" s="198"/>
    <row r="478" ht="15.75" customHeight="1" s="198"/>
    <row r="479" ht="15.75" customHeight="1" s="198"/>
    <row r="480" ht="15.75" customHeight="1" s="198"/>
    <row r="481" ht="15.75" customHeight="1" s="198"/>
    <row r="482" ht="15.75" customHeight="1" s="198"/>
    <row r="483" ht="15.75" customHeight="1" s="198"/>
    <row r="484" ht="15.75" customHeight="1" s="198"/>
    <row r="485" ht="15.75" customHeight="1" s="198"/>
    <row r="486" ht="15.75" customHeight="1" s="198"/>
    <row r="487" ht="15.75" customHeight="1" s="198"/>
    <row r="488" ht="15.75" customHeight="1" s="198"/>
    <row r="489" ht="15.75" customHeight="1" s="198"/>
    <row r="490" ht="15.75" customHeight="1" s="198"/>
    <row r="491" ht="15.75" customHeight="1" s="198"/>
    <row r="492" ht="15.75" customHeight="1" s="198"/>
    <row r="493" ht="15.75" customHeight="1" s="198"/>
    <row r="494" ht="15.75" customHeight="1" s="198"/>
    <row r="495" ht="15.75" customHeight="1" s="198"/>
    <row r="496" ht="15.75" customHeight="1" s="198"/>
    <row r="497" ht="15.75" customHeight="1" s="198"/>
    <row r="498" ht="15.75" customHeight="1" s="198"/>
    <row r="499" ht="15.75" customHeight="1" s="198"/>
    <row r="500" ht="15.75" customHeight="1" s="198"/>
    <row r="501" ht="15.75" customHeight="1" s="198"/>
    <row r="502" ht="15.75" customHeight="1" s="198"/>
    <row r="503" ht="15.75" customHeight="1" s="198"/>
    <row r="504" ht="15.75" customHeight="1" s="198"/>
    <row r="505" ht="15.75" customHeight="1" s="198"/>
    <row r="506" ht="15.75" customHeight="1" s="198"/>
    <row r="507" ht="15.75" customHeight="1" s="198"/>
    <row r="508" ht="15.75" customHeight="1" s="198"/>
    <row r="509" ht="15.75" customHeight="1" s="198"/>
    <row r="510" ht="15.75" customHeight="1" s="198"/>
    <row r="511" ht="15.75" customHeight="1" s="198"/>
    <row r="512" ht="15.75" customHeight="1" s="198"/>
    <row r="513" ht="15.75" customHeight="1" s="198"/>
    <row r="514" ht="15.75" customHeight="1" s="198"/>
    <row r="515" ht="15.75" customHeight="1" s="198"/>
    <row r="516" ht="15.75" customHeight="1" s="198"/>
    <row r="517" ht="15.75" customHeight="1" s="198"/>
    <row r="518" ht="15.75" customHeight="1" s="198"/>
    <row r="519" ht="15.75" customHeight="1" s="198"/>
    <row r="520" ht="15.75" customHeight="1" s="198"/>
    <row r="521" ht="15.75" customHeight="1" s="198"/>
    <row r="522" ht="15.75" customHeight="1" s="198"/>
    <row r="523" ht="15.75" customHeight="1" s="198"/>
    <row r="524" ht="15.75" customHeight="1" s="198"/>
    <row r="525" ht="15.75" customHeight="1" s="198"/>
    <row r="526" ht="15.75" customHeight="1" s="198"/>
    <row r="527" ht="15.75" customHeight="1" s="198"/>
    <row r="528" ht="15.75" customHeight="1" s="198"/>
    <row r="529" ht="15.75" customHeight="1" s="198"/>
    <row r="530" ht="15.75" customHeight="1" s="198"/>
    <row r="531" ht="15.75" customHeight="1" s="198"/>
    <row r="532" ht="15.75" customHeight="1" s="198"/>
    <row r="533" ht="15.75" customHeight="1" s="198"/>
    <row r="534" ht="15.75" customHeight="1" s="198"/>
    <row r="535" ht="15.75" customHeight="1" s="198"/>
    <row r="536" ht="15.75" customHeight="1" s="198"/>
    <row r="537" ht="15.75" customHeight="1" s="198"/>
    <row r="538" ht="15.75" customHeight="1" s="198"/>
    <row r="539" ht="15.75" customHeight="1" s="198"/>
    <row r="540" ht="15.75" customHeight="1" s="198"/>
    <row r="541" ht="15.75" customHeight="1" s="198"/>
    <row r="542" ht="15.75" customHeight="1" s="198"/>
    <row r="543" ht="15.75" customHeight="1" s="198"/>
    <row r="544" ht="15.75" customHeight="1" s="198"/>
    <row r="545" ht="15.75" customHeight="1" s="198"/>
    <row r="546" ht="15.75" customHeight="1" s="198"/>
    <row r="547" ht="15.75" customHeight="1" s="198"/>
    <row r="548" ht="15.75" customHeight="1" s="198"/>
    <row r="549" ht="15.75" customHeight="1" s="198"/>
    <row r="550" ht="15.75" customHeight="1" s="198"/>
    <row r="551" ht="15.75" customHeight="1" s="198"/>
    <row r="552" ht="15.75" customHeight="1" s="198"/>
    <row r="553" ht="15.75" customHeight="1" s="198"/>
    <row r="554" ht="15.75" customHeight="1" s="198"/>
    <row r="555" ht="15.75" customHeight="1" s="198"/>
    <row r="556" ht="15.75" customHeight="1" s="198"/>
    <row r="557" ht="15.75" customHeight="1" s="198"/>
    <row r="558" ht="15.75" customHeight="1" s="198"/>
    <row r="559" ht="15.75" customHeight="1" s="198"/>
    <row r="560" ht="15.75" customHeight="1" s="198"/>
    <row r="561" ht="15.75" customHeight="1" s="198"/>
    <row r="562" ht="15.75" customHeight="1" s="198"/>
    <row r="563" ht="15.75" customHeight="1" s="198"/>
    <row r="564" ht="15.75" customHeight="1" s="198"/>
    <row r="565" ht="15.75" customHeight="1" s="198"/>
    <row r="566" ht="15.75" customHeight="1" s="198"/>
    <row r="567" ht="15.75" customHeight="1" s="198"/>
    <row r="568" ht="15.75" customHeight="1" s="198"/>
    <row r="569" ht="15.75" customHeight="1" s="198"/>
    <row r="570" ht="15.75" customHeight="1" s="198"/>
    <row r="571" ht="15.75" customHeight="1" s="198"/>
    <row r="572" ht="15.75" customHeight="1" s="198"/>
    <row r="573" ht="15.75" customHeight="1" s="198"/>
    <row r="574" ht="15.75" customHeight="1" s="198"/>
    <row r="575" ht="15.75" customHeight="1" s="198"/>
    <row r="576" ht="15.75" customHeight="1" s="198"/>
    <row r="577" ht="15.75" customHeight="1" s="198"/>
    <row r="578" ht="15.75" customHeight="1" s="198"/>
    <row r="579" ht="15.75" customHeight="1" s="198"/>
    <row r="580" ht="15.75" customHeight="1" s="198"/>
    <row r="581" ht="15.75" customHeight="1" s="198"/>
    <row r="582" ht="15.75" customHeight="1" s="198"/>
    <row r="583" ht="15.75" customHeight="1" s="198"/>
    <row r="584" ht="15.75" customHeight="1" s="198"/>
    <row r="585" ht="15.75" customHeight="1" s="198"/>
    <row r="586" ht="15.75" customHeight="1" s="198"/>
    <row r="587" ht="15.75" customHeight="1" s="198"/>
    <row r="588" ht="15.75" customHeight="1" s="198"/>
    <row r="589" ht="15.75" customHeight="1" s="198"/>
    <row r="590" ht="15.75" customHeight="1" s="198"/>
    <row r="591" ht="15.75" customHeight="1" s="198"/>
    <row r="592" ht="15.75" customHeight="1" s="198"/>
    <row r="593" ht="15.75" customHeight="1" s="198"/>
    <row r="594" ht="15.75" customHeight="1" s="198"/>
    <row r="595" ht="15.75" customHeight="1" s="198"/>
    <row r="596" ht="15.75" customHeight="1" s="198"/>
    <row r="597" ht="15.75" customHeight="1" s="198"/>
    <row r="598" ht="15.75" customHeight="1" s="198"/>
    <row r="599" ht="15.75" customHeight="1" s="198"/>
    <row r="600" ht="15.75" customHeight="1" s="198"/>
    <row r="601" ht="15.75" customHeight="1" s="198"/>
    <row r="602" ht="15.75" customHeight="1" s="198"/>
    <row r="603" ht="15.75" customHeight="1" s="198"/>
    <row r="604" ht="15.75" customHeight="1" s="198"/>
    <row r="605" ht="15.75" customHeight="1" s="198"/>
    <row r="606" ht="15.75" customHeight="1" s="198"/>
    <row r="607" ht="15.75" customHeight="1" s="198"/>
    <row r="608" ht="15.75" customHeight="1" s="198"/>
    <row r="609" ht="15.75" customHeight="1" s="198"/>
    <row r="610" ht="15.75" customHeight="1" s="198"/>
    <row r="611" ht="15.75" customHeight="1" s="198"/>
    <row r="612" ht="15.75" customHeight="1" s="198"/>
    <row r="613" ht="15.75" customHeight="1" s="198"/>
    <row r="614" ht="15.75" customHeight="1" s="198"/>
    <row r="615" ht="15.75" customHeight="1" s="198"/>
    <row r="616" ht="15.75" customHeight="1" s="198"/>
    <row r="617" ht="15.75" customHeight="1" s="198"/>
    <row r="618" ht="15.75" customHeight="1" s="198"/>
    <row r="619" ht="15.75" customHeight="1" s="198"/>
    <row r="620" ht="15.75" customHeight="1" s="198"/>
    <row r="621" ht="15.75" customHeight="1" s="198"/>
    <row r="622" ht="15.75" customHeight="1" s="198"/>
    <row r="623" ht="15.75" customHeight="1" s="198"/>
    <row r="624" ht="15.75" customHeight="1" s="198"/>
    <row r="625" ht="15.75" customHeight="1" s="198"/>
    <row r="626" ht="15.75" customHeight="1" s="198"/>
    <row r="627" ht="15.75" customHeight="1" s="198"/>
    <row r="628" ht="15.75" customHeight="1" s="198"/>
    <row r="629" ht="15.75" customHeight="1" s="198"/>
    <row r="630" ht="15.75" customHeight="1" s="198"/>
    <row r="631" ht="15.75" customHeight="1" s="198"/>
    <row r="632" ht="15.75" customHeight="1" s="198"/>
    <row r="633" ht="15.75" customHeight="1" s="198"/>
    <row r="634" ht="15.75" customHeight="1" s="198"/>
    <row r="635" ht="15.75" customHeight="1" s="198"/>
    <row r="636" ht="15.75" customHeight="1" s="198"/>
    <row r="637" ht="15.75" customHeight="1" s="198"/>
    <row r="638" ht="15.75" customHeight="1" s="198"/>
    <row r="639" ht="15.75" customHeight="1" s="198"/>
    <row r="640" ht="15.75" customHeight="1" s="198"/>
    <row r="641" ht="15.75" customHeight="1" s="198"/>
    <row r="642" ht="15.75" customHeight="1" s="198"/>
    <row r="643" ht="15.75" customHeight="1" s="198"/>
    <row r="644" ht="15.75" customHeight="1" s="198"/>
    <row r="645" ht="15.75" customHeight="1" s="198"/>
    <row r="646" ht="15.75" customHeight="1" s="198"/>
    <row r="647" ht="15.75" customHeight="1" s="198"/>
    <row r="648" ht="15.75" customHeight="1" s="198"/>
    <row r="649" ht="15.75" customHeight="1" s="198"/>
    <row r="650" ht="15.75" customHeight="1" s="198"/>
    <row r="651" ht="15.75" customHeight="1" s="198"/>
    <row r="652" ht="15.75" customHeight="1" s="198"/>
    <row r="653" ht="15.75" customHeight="1" s="198"/>
    <row r="654" ht="15.75" customHeight="1" s="198"/>
    <row r="655" ht="15.75" customHeight="1" s="198"/>
    <row r="656" ht="15.75" customHeight="1" s="198"/>
    <row r="657" ht="15.75" customHeight="1" s="198"/>
    <row r="658" ht="15.75" customHeight="1" s="198"/>
    <row r="659" ht="15.75" customHeight="1" s="198"/>
    <row r="660" ht="15.75" customHeight="1" s="198"/>
    <row r="661" ht="15.75" customHeight="1" s="198"/>
    <row r="662" ht="15.75" customHeight="1" s="198"/>
    <row r="663" ht="15.75" customHeight="1" s="198"/>
    <row r="664" ht="15.75" customHeight="1" s="198"/>
    <row r="665" ht="15.75" customHeight="1" s="198"/>
    <row r="666" ht="15.75" customHeight="1" s="198"/>
    <row r="667" ht="15.75" customHeight="1" s="198"/>
    <row r="668" ht="15.75" customHeight="1" s="198"/>
    <row r="669" ht="15.75" customHeight="1" s="198"/>
    <row r="670" ht="15.75" customHeight="1" s="198"/>
    <row r="671" ht="15.75" customHeight="1" s="198"/>
    <row r="672" ht="15.75" customHeight="1" s="198"/>
    <row r="673" ht="15.75" customHeight="1" s="198"/>
    <row r="674" ht="15.75" customHeight="1" s="198"/>
    <row r="675" ht="15.75" customHeight="1" s="198"/>
    <row r="676" ht="15.75" customHeight="1" s="198"/>
    <row r="677" ht="15.75" customHeight="1" s="198"/>
    <row r="678" ht="15.75" customHeight="1" s="198"/>
    <row r="679" ht="15.75" customHeight="1" s="198"/>
    <row r="680" ht="15.75" customHeight="1" s="198"/>
    <row r="681" ht="15.75" customHeight="1" s="198"/>
    <row r="682" ht="15.75" customHeight="1" s="198"/>
    <row r="683" ht="15.75" customHeight="1" s="198"/>
    <row r="684" ht="15.75" customHeight="1" s="198"/>
    <row r="685" ht="15.75" customHeight="1" s="198"/>
    <row r="686" ht="15.75" customHeight="1" s="198"/>
    <row r="687" ht="15.75" customHeight="1" s="198"/>
    <row r="688" ht="15.75" customHeight="1" s="198"/>
    <row r="689" ht="15.75" customHeight="1" s="198"/>
    <row r="690" ht="15.75" customHeight="1" s="198"/>
    <row r="691" ht="15.75" customHeight="1" s="198"/>
    <row r="692" ht="15.75" customHeight="1" s="198"/>
    <row r="693" ht="15.75" customHeight="1" s="198"/>
    <row r="694" ht="15.75" customHeight="1" s="198"/>
    <row r="695" ht="15.75" customHeight="1" s="198"/>
    <row r="696" ht="15.75" customHeight="1" s="198"/>
    <row r="697" ht="15.75" customHeight="1" s="198"/>
    <row r="698" ht="15.75" customHeight="1" s="198"/>
    <row r="699" ht="15.75" customHeight="1" s="198"/>
    <row r="700" ht="15.75" customHeight="1" s="198"/>
    <row r="701" ht="15.75" customHeight="1" s="198"/>
    <row r="702" ht="15.75" customHeight="1" s="198"/>
    <row r="703" ht="15.75" customHeight="1" s="198"/>
    <row r="704" ht="15.75" customHeight="1" s="198"/>
    <row r="705" ht="15.75" customHeight="1" s="198"/>
    <row r="706" ht="15.75" customHeight="1" s="198"/>
    <row r="707" ht="15.75" customHeight="1" s="198"/>
    <row r="708" ht="15.75" customHeight="1" s="198"/>
    <row r="709" ht="15.75" customHeight="1" s="198"/>
    <row r="710" ht="15.75" customHeight="1" s="198"/>
    <row r="711" ht="15.75" customHeight="1" s="198"/>
    <row r="712" ht="15.75" customHeight="1" s="198"/>
    <row r="713" ht="15.75" customHeight="1" s="198"/>
    <row r="714" ht="15.75" customHeight="1" s="198"/>
    <row r="715" ht="15.75" customHeight="1" s="198"/>
    <row r="716" ht="15.75" customHeight="1" s="198"/>
    <row r="717" ht="15.75" customHeight="1" s="198"/>
    <row r="718" ht="15.75" customHeight="1" s="198"/>
    <row r="719" ht="15.75" customHeight="1" s="198"/>
    <row r="720" ht="15.75" customHeight="1" s="198"/>
    <row r="721" ht="15.75" customHeight="1" s="198"/>
    <row r="722" ht="15.75" customHeight="1" s="198"/>
    <row r="723" ht="15.75" customHeight="1" s="198"/>
    <row r="724" ht="15.75" customHeight="1" s="198"/>
    <row r="725" ht="15.75" customHeight="1" s="198"/>
    <row r="726" ht="15.75" customHeight="1" s="198"/>
    <row r="727" ht="15.75" customHeight="1" s="198"/>
    <row r="728" ht="15.75" customHeight="1" s="198"/>
    <row r="729" ht="15.75" customHeight="1" s="198"/>
    <row r="730" ht="15.75" customHeight="1" s="198"/>
    <row r="731" ht="15.75" customHeight="1" s="198"/>
    <row r="732" ht="15.75" customHeight="1" s="198"/>
    <row r="733" ht="15.75" customHeight="1" s="198"/>
    <row r="734" ht="15.75" customHeight="1" s="198"/>
    <row r="735" ht="15.75" customHeight="1" s="198"/>
    <row r="736" ht="15.75" customHeight="1" s="198"/>
    <row r="737" ht="15.75" customHeight="1" s="198"/>
    <row r="738" ht="15.75" customHeight="1" s="198"/>
    <row r="739" ht="15.75" customHeight="1" s="198"/>
    <row r="740" ht="15.75" customHeight="1" s="198"/>
    <row r="741" ht="15.75" customHeight="1" s="198"/>
    <row r="742" ht="15.75" customHeight="1" s="198"/>
    <row r="743" ht="15.75" customHeight="1" s="198"/>
    <row r="744" ht="15.75" customHeight="1" s="198"/>
    <row r="745" ht="15.75" customHeight="1" s="198"/>
    <row r="746" ht="15.75" customHeight="1" s="198"/>
    <row r="747" ht="15.75" customHeight="1" s="198"/>
    <row r="748" ht="15.75" customHeight="1" s="198"/>
    <row r="749" ht="15.75" customHeight="1" s="198"/>
    <row r="750" ht="15.75" customHeight="1" s="198"/>
    <row r="751" ht="15.75" customHeight="1" s="198"/>
    <row r="752" ht="15.75" customHeight="1" s="198"/>
    <row r="753" ht="15.75" customHeight="1" s="198"/>
    <row r="754" ht="15.75" customHeight="1" s="198"/>
    <row r="755" ht="15.75" customHeight="1" s="198"/>
    <row r="756" ht="15.75" customHeight="1" s="198"/>
    <row r="757" ht="15.75" customHeight="1" s="198"/>
    <row r="758" ht="15.75" customHeight="1" s="198"/>
    <row r="759" ht="15.75" customHeight="1" s="198"/>
    <row r="760" ht="15.75" customHeight="1" s="198"/>
    <row r="761" ht="15.75" customHeight="1" s="198"/>
    <row r="762" ht="15.75" customHeight="1" s="198"/>
    <row r="763" ht="15.75" customHeight="1" s="198"/>
    <row r="764" ht="15.75" customHeight="1" s="198"/>
    <row r="765" ht="15.75" customHeight="1" s="198"/>
    <row r="766" ht="15.75" customHeight="1" s="198"/>
    <row r="767" ht="15.75" customHeight="1" s="198"/>
    <row r="768" ht="15.75" customHeight="1" s="198"/>
    <row r="769" ht="15.75" customHeight="1" s="198"/>
    <row r="770" ht="15.75" customHeight="1" s="198"/>
    <row r="771" ht="15.75" customHeight="1" s="198"/>
    <row r="772" ht="15.75" customHeight="1" s="198"/>
    <row r="773" ht="15.75" customHeight="1" s="198"/>
    <row r="774" ht="15.75" customHeight="1" s="198"/>
    <row r="775" ht="15.75" customHeight="1" s="198"/>
    <row r="776" ht="15.75" customHeight="1" s="198"/>
    <row r="777" ht="15.75" customHeight="1" s="198"/>
    <row r="778" ht="15.75" customHeight="1" s="198"/>
    <row r="779" ht="15.75" customHeight="1" s="198"/>
    <row r="780" ht="15.75" customHeight="1" s="198"/>
    <row r="781" ht="15.75" customHeight="1" s="198"/>
    <row r="782" ht="15.75" customHeight="1" s="198"/>
    <row r="783" ht="15.75" customHeight="1" s="198"/>
    <row r="784" ht="15.75" customHeight="1" s="198"/>
    <row r="785" ht="15.75" customHeight="1" s="198"/>
    <row r="786" ht="15.75" customHeight="1" s="198"/>
    <row r="787" ht="15.75" customHeight="1" s="198"/>
    <row r="788" ht="15.75" customHeight="1" s="198"/>
    <row r="789" ht="15.75" customHeight="1" s="198"/>
    <row r="790" ht="15.75" customHeight="1" s="198"/>
    <row r="791" ht="15.75" customHeight="1" s="198"/>
    <row r="792" ht="15.75" customHeight="1" s="198"/>
    <row r="793" ht="15.75" customHeight="1" s="198"/>
    <row r="794" ht="15.75" customHeight="1" s="198"/>
    <row r="795" ht="15.75" customHeight="1" s="198"/>
    <row r="796" ht="15.75" customHeight="1" s="198"/>
    <row r="797" ht="15.75" customHeight="1" s="198"/>
    <row r="798" ht="15.75" customHeight="1" s="198"/>
    <row r="799" ht="15.75" customHeight="1" s="198"/>
    <row r="800" ht="15.75" customHeight="1" s="198"/>
    <row r="801" ht="15.75" customHeight="1" s="198"/>
    <row r="802" ht="15.75" customHeight="1" s="198"/>
    <row r="803" ht="15.75" customHeight="1" s="198"/>
    <row r="804" ht="15.75" customHeight="1" s="198"/>
    <row r="805" ht="15.75" customHeight="1" s="198"/>
    <row r="806" ht="15.75" customHeight="1" s="198"/>
    <row r="807" ht="15.75" customHeight="1" s="198"/>
    <row r="808" ht="15.75" customHeight="1" s="198"/>
    <row r="809" ht="15.75" customHeight="1" s="198"/>
    <row r="810" ht="15.75" customHeight="1" s="198"/>
    <row r="811" ht="15.75" customHeight="1" s="198"/>
    <row r="812" ht="15.75" customHeight="1" s="198"/>
    <row r="813" ht="15.75" customHeight="1" s="198"/>
    <row r="814" ht="15.75" customHeight="1" s="198"/>
    <row r="815" ht="15.75" customHeight="1" s="198"/>
    <row r="816" ht="15.75" customHeight="1" s="198"/>
    <row r="817" ht="15.75" customHeight="1" s="198"/>
    <row r="818" ht="15.75" customHeight="1" s="198"/>
    <row r="819" ht="15.75" customHeight="1" s="198"/>
    <row r="820" ht="15.75" customHeight="1" s="198"/>
    <row r="821" ht="15.75" customHeight="1" s="198"/>
    <row r="822" ht="15.75" customHeight="1" s="198"/>
    <row r="823" ht="15.75" customHeight="1" s="198"/>
    <row r="824" ht="15.75" customHeight="1" s="198"/>
    <row r="825" ht="15.75" customHeight="1" s="198"/>
    <row r="826" ht="15.75" customHeight="1" s="198"/>
    <row r="827" ht="15.75" customHeight="1" s="198"/>
    <row r="828" ht="15.75" customHeight="1" s="198"/>
    <row r="829" ht="15.75" customHeight="1" s="198"/>
    <row r="830" ht="15.75" customHeight="1" s="198"/>
    <row r="831" ht="15.75" customHeight="1" s="198"/>
    <row r="832" ht="15.75" customHeight="1" s="198"/>
    <row r="833" ht="15.75" customHeight="1" s="198"/>
    <row r="834" ht="15.75" customHeight="1" s="198"/>
    <row r="835" ht="15.75" customHeight="1" s="198"/>
    <row r="836" ht="15.75" customHeight="1" s="198"/>
    <row r="837" ht="15.75" customHeight="1" s="198"/>
    <row r="838" ht="15.75" customHeight="1" s="198"/>
    <row r="839" ht="15.75" customHeight="1" s="198"/>
    <row r="840" ht="15.75" customHeight="1" s="198"/>
    <row r="841" ht="15.75" customHeight="1" s="198"/>
    <row r="842" ht="15.75" customHeight="1" s="198"/>
    <row r="843" ht="15.75" customHeight="1" s="198"/>
    <row r="844" ht="15.75" customHeight="1" s="198"/>
    <row r="845" ht="15.75" customHeight="1" s="198"/>
    <row r="846" ht="15.75" customHeight="1" s="198"/>
    <row r="847" ht="15.75" customHeight="1" s="198"/>
    <row r="848" ht="15.75" customHeight="1" s="198"/>
    <row r="849" ht="15.75" customHeight="1" s="198"/>
    <row r="850" ht="15.75" customHeight="1" s="198"/>
    <row r="851" ht="15.75" customHeight="1" s="198"/>
    <row r="852" ht="15.75" customHeight="1" s="198"/>
    <row r="853" ht="15.75" customHeight="1" s="198"/>
    <row r="854" ht="15.75" customHeight="1" s="198"/>
    <row r="855" ht="15.75" customHeight="1" s="198"/>
    <row r="856" ht="15.75" customHeight="1" s="198"/>
    <row r="857" ht="15.75" customHeight="1" s="198"/>
    <row r="858" ht="15.75" customHeight="1" s="198"/>
    <row r="859" ht="15.75" customHeight="1" s="198"/>
    <row r="860" ht="15.75" customHeight="1" s="198"/>
    <row r="861" ht="15.75" customHeight="1" s="198"/>
    <row r="862" ht="15.75" customHeight="1" s="198"/>
    <row r="863" ht="15.75" customHeight="1" s="198"/>
    <row r="864" ht="15.75" customHeight="1" s="198"/>
    <row r="865" ht="15.75" customHeight="1" s="198"/>
    <row r="866" ht="15.75" customHeight="1" s="198"/>
    <row r="867" ht="15.75" customHeight="1" s="198"/>
    <row r="868" ht="15.75" customHeight="1" s="198"/>
    <row r="869" ht="15.75" customHeight="1" s="198"/>
    <row r="870" ht="15.75" customHeight="1" s="198"/>
    <row r="871" ht="15.75" customHeight="1" s="198"/>
    <row r="872" ht="15.75" customHeight="1" s="198"/>
    <row r="873" ht="15.75" customHeight="1" s="198"/>
    <row r="874" ht="15.75" customHeight="1" s="198"/>
    <row r="875" ht="15.75" customHeight="1" s="198"/>
    <row r="876" ht="15.75" customHeight="1" s="198"/>
    <row r="877" ht="15.75" customHeight="1" s="198"/>
    <row r="878" ht="15.75" customHeight="1" s="198"/>
    <row r="879" ht="15.75" customHeight="1" s="198"/>
    <row r="880" ht="15.75" customHeight="1" s="198"/>
    <row r="881" ht="15.75" customHeight="1" s="198"/>
    <row r="882" ht="15.75" customHeight="1" s="198"/>
    <row r="883" ht="15.75" customHeight="1" s="198"/>
    <row r="884" ht="15.75" customHeight="1" s="198"/>
    <row r="885" ht="15.75" customHeight="1" s="198"/>
    <row r="886" ht="15.75" customHeight="1" s="198"/>
    <row r="887" ht="15.75" customHeight="1" s="198"/>
    <row r="888" ht="15.75" customHeight="1" s="198"/>
    <row r="889" ht="15.75" customHeight="1" s="198"/>
    <row r="890" ht="15.75" customHeight="1" s="198"/>
    <row r="891" ht="15.75" customHeight="1" s="198"/>
    <row r="892" ht="15.75" customHeight="1" s="198"/>
    <row r="893" ht="15.75" customHeight="1" s="198"/>
    <row r="894" ht="15.75" customHeight="1" s="198"/>
    <row r="895" ht="15.75" customHeight="1" s="198"/>
    <row r="896" ht="15.75" customHeight="1" s="198"/>
    <row r="897" ht="15.75" customHeight="1" s="198"/>
    <row r="898" ht="15.75" customHeight="1" s="198"/>
    <row r="899" ht="15.75" customHeight="1" s="198"/>
    <row r="900" ht="15.75" customHeight="1" s="198"/>
    <row r="901" ht="15.75" customHeight="1" s="198"/>
    <row r="902" ht="15.75" customHeight="1" s="198"/>
    <row r="903" ht="15.75" customHeight="1" s="198"/>
    <row r="904" ht="15.75" customHeight="1" s="198"/>
    <row r="905" ht="15.75" customHeight="1" s="198"/>
    <row r="906" ht="15.75" customHeight="1" s="198"/>
    <row r="907" ht="15.75" customHeight="1" s="198"/>
    <row r="908" ht="15.75" customHeight="1" s="198"/>
    <row r="909" ht="15.75" customHeight="1" s="198"/>
    <row r="910" ht="15.75" customHeight="1" s="198"/>
    <row r="911" ht="15.75" customHeight="1" s="198"/>
    <row r="912" ht="15.75" customHeight="1" s="198"/>
    <row r="913" ht="15.75" customHeight="1" s="198"/>
    <row r="914" ht="15.75" customHeight="1" s="198"/>
    <row r="915" ht="15.75" customHeight="1" s="198"/>
    <row r="916" ht="15.75" customHeight="1" s="198"/>
    <row r="917" ht="15.75" customHeight="1" s="198"/>
    <row r="918" ht="15.75" customHeight="1" s="198"/>
    <row r="919" ht="15.75" customHeight="1" s="198"/>
    <row r="920" ht="15.75" customHeight="1" s="198"/>
    <row r="921" ht="15.75" customHeight="1" s="198"/>
    <row r="922" ht="15.75" customHeight="1" s="198"/>
    <row r="923" ht="15.75" customHeight="1" s="198"/>
    <row r="924" ht="15.75" customHeight="1" s="198"/>
    <row r="925" ht="15.75" customHeight="1" s="198"/>
    <row r="926" ht="15.75" customHeight="1" s="198"/>
    <row r="927" ht="15.75" customHeight="1" s="198"/>
    <row r="928" ht="15.75" customHeight="1" s="198"/>
    <row r="929" ht="15.75" customHeight="1" s="198"/>
    <row r="930" ht="15.75" customHeight="1" s="198"/>
    <row r="931" ht="15.75" customHeight="1" s="198"/>
    <row r="932" ht="15.75" customHeight="1" s="198"/>
    <row r="933" ht="15.75" customHeight="1" s="198"/>
    <row r="934" ht="15.75" customHeight="1" s="198"/>
    <row r="935" ht="15.75" customHeight="1" s="198"/>
    <row r="936" ht="15.75" customHeight="1" s="198"/>
    <row r="937" ht="15.75" customHeight="1" s="198"/>
    <row r="938" ht="15.75" customHeight="1" s="198"/>
    <row r="939" ht="15.75" customHeight="1" s="198"/>
    <row r="940" ht="15.75" customHeight="1" s="198"/>
    <row r="941" ht="15.75" customHeight="1" s="198"/>
    <row r="942" ht="15.75" customHeight="1" s="198"/>
    <row r="943" ht="15.75" customHeight="1" s="198"/>
    <row r="944" ht="15.75" customHeight="1" s="198"/>
    <row r="945" ht="15.75" customHeight="1" s="198"/>
    <row r="946" ht="15.75" customHeight="1" s="198"/>
    <row r="947" ht="15.75" customHeight="1" s="198"/>
    <row r="948" ht="15.75" customHeight="1" s="198"/>
    <row r="949" ht="15.75" customHeight="1" s="198"/>
    <row r="950" ht="15.75" customHeight="1" s="198"/>
    <row r="951" ht="15.75" customHeight="1" s="198"/>
    <row r="952" ht="15.75" customHeight="1" s="198"/>
    <row r="953" ht="15.75" customHeight="1" s="198"/>
    <row r="954" ht="15.75" customHeight="1" s="198"/>
    <row r="955" ht="15.75" customHeight="1" s="198"/>
    <row r="956" ht="15.75" customHeight="1" s="198"/>
    <row r="957" ht="15.75" customHeight="1" s="198"/>
    <row r="958" ht="15.75" customHeight="1" s="198"/>
    <row r="959" ht="15.75" customHeight="1" s="198"/>
    <row r="960" ht="15.75" customHeight="1" s="198"/>
    <row r="961" ht="15.75" customHeight="1" s="198"/>
    <row r="962" ht="15.75" customHeight="1" s="198"/>
    <row r="963" ht="15.75" customHeight="1" s="198"/>
    <row r="964" ht="15.75" customHeight="1" s="198"/>
    <row r="965" ht="15.75" customHeight="1" s="198"/>
    <row r="966" ht="15.75" customHeight="1" s="198"/>
    <row r="967" ht="15.75" customHeight="1" s="198"/>
    <row r="968" ht="15.75" customHeight="1" s="198"/>
    <row r="969" ht="15.75" customHeight="1" s="198"/>
    <row r="970" ht="15.75" customHeight="1" s="198"/>
    <row r="971" ht="15.75" customHeight="1" s="198"/>
    <row r="972" ht="15.75" customHeight="1" s="198"/>
    <row r="973" ht="15.75" customHeight="1" s="198"/>
    <row r="974" ht="15.75" customHeight="1" s="198"/>
    <row r="975" ht="15.75" customHeight="1" s="198"/>
    <row r="976" ht="15.75" customHeight="1" s="198"/>
    <row r="977" ht="15.75" customHeight="1" s="198"/>
    <row r="978" ht="15.75" customHeight="1" s="198"/>
    <row r="979" ht="15.75" customHeight="1" s="198"/>
    <row r="980" ht="15.75" customHeight="1" s="198"/>
    <row r="981" ht="15.75" customHeight="1" s="198"/>
    <row r="982" ht="15.75" customHeight="1" s="198"/>
    <row r="983" ht="15.75" customHeight="1" s="198"/>
    <row r="984" ht="15.75" customHeight="1" s="198"/>
    <row r="985" ht="15.75" customHeight="1" s="198"/>
    <row r="986" ht="15.75" customHeight="1" s="198"/>
    <row r="987" ht="15.75" customHeight="1" s="198"/>
    <row r="988" ht="15.75" customHeight="1" s="198"/>
    <row r="989" ht="15.75" customHeight="1" s="198"/>
    <row r="990" ht="15.75" customHeight="1" s="198"/>
    <row r="991" ht="15.75" customHeight="1" s="198"/>
    <row r="992" ht="15.75" customHeight="1" s="198"/>
    <row r="993" ht="15.75" customHeight="1" s="198"/>
    <row r="994" ht="15.75" customHeight="1" s="198"/>
    <row r="995" ht="15.75" customHeight="1" s="198"/>
    <row r="996" ht="15.75" customHeight="1" s="198"/>
    <row r="997" ht="15.75" customHeight="1" s="198"/>
    <row r="998" ht="15.75" customHeight="1" s="198"/>
    <row r="999" ht="15.75" customHeight="1" s="198"/>
    <row r="1000" ht="15.75" customHeight="1" s="198"/>
    <row r="1001" ht="15.75" customHeight="1" s="198"/>
    <row r="1002" ht="15.75" customHeight="1" s="198"/>
  </sheetData>
  <mergeCells count="18">
    <mergeCell ref="I5:I7"/>
    <mergeCell ref="M5:M7"/>
    <mergeCell ref="C6:D6"/>
    <mergeCell ref="N5:N7"/>
    <mergeCell ref="C10:D10"/>
    <mergeCell ref="G5:H5"/>
    <mergeCell ref="G6:G7"/>
    <mergeCell ref="E18:P21"/>
    <mergeCell ref="H6:H7"/>
    <mergeCell ref="P5:P7"/>
    <mergeCell ref="E6:E7"/>
    <mergeCell ref="K5:K7"/>
    <mergeCell ref="F6:F7"/>
    <mergeCell ref="C5:F5"/>
    <mergeCell ref="L5:L7"/>
    <mergeCell ref="J5:J7"/>
    <mergeCell ref="O5:O7"/>
    <mergeCell ref="B5:B7"/>
  </mergeCells>
  <hyperlinks>
    <hyperlink xmlns:r="http://schemas.openxmlformats.org/officeDocument/2006/relationships" ref="M8" r:id="rId1"/>
    <hyperlink xmlns:r="http://schemas.openxmlformats.org/officeDocument/2006/relationships" ref="N8" r:id="rId2"/>
    <hyperlink xmlns:r="http://schemas.openxmlformats.org/officeDocument/2006/relationships" ref="O8" r:id="rId3"/>
    <hyperlink xmlns:r="http://schemas.openxmlformats.org/officeDocument/2006/relationships" ref="P8" r:id="rId4"/>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2026-10-29T16:56:35Z</dcterms:created>
  <dcterms:modified xmlns:dcterms="http://purl.org/dc/terms/" xmlns:xsi="http://www.w3.org/2001/XMLSchema-instance" xsi:type="dcterms:W3CDTF">2026-10-29T20:07:21Z</dcterms:modified>
  <cp:lastModifiedBy>Hernandez Ruiz Ivan David</cp:lastModifiedBy>
</cp:coreProperties>
</file>